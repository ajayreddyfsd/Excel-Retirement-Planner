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jayr\OneDrive\Desktop\"/>
    </mc:Choice>
  </mc:AlternateContent>
  <xr:revisionPtr revIDLastSave="0" documentId="13_ncr:1_{F379B519-B681-45FD-A66C-099BADB6BBC5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Planner" sheetId="1" r:id="rId1"/>
    <sheet name="Detail" sheetId="4" r:id="rId2"/>
    <sheet name="Calculations" sheetId="2" state="hidden" r:id="rId3"/>
    <sheet name="Support" sheetId="3" state="hidden" r:id="rId4"/>
  </sheets>
  <definedNames>
    <definedName name="age_when_money_runs_out">Support!$B$9</definedName>
    <definedName name="annual_income_increase">Planner!$B$12</definedName>
    <definedName name="annual_inflation">Planner!$B$11</definedName>
    <definedName name="current_age">Planner!$B$5</definedName>
    <definedName name="current_annual_expenses">Planner!$B$7</definedName>
    <definedName name="current_annual_income">Planner!$B$6</definedName>
    <definedName name="current_retirement_savings">Planner!$B$8</definedName>
    <definedName name="dynamic_access_labels" localSheetId="1">OFFSET(Detail!$A$2,0,0,[0]!years_before_money_runs_out,1)</definedName>
    <definedName name="dynamic_access_labels">OFFSET(Calculations!$B$2,0,0,years_before_money_runs_out,1)</definedName>
    <definedName name="dynamic_series" localSheetId="1">OFFSET(Detail!$I$2,0,0,[0]!years_before_money_runs_out,1)</definedName>
    <definedName name="dynamic_series">OFFSET(Calculations!$J$2,0,0,years_before_money_runs_out,1)</definedName>
    <definedName name="investment_return_post">Support!$B$6</definedName>
    <definedName name="investment_return_pre">Support!$B$5</definedName>
    <definedName name="retirement_age">Planner!$B$2</definedName>
    <definedName name="tax_rate">Planner!$B$13</definedName>
    <definedName name="years_before_money_runs_out">Support!$B$8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  <c r="B3" i="4"/>
  <c r="C3" i="4"/>
  <c r="D3" i="4"/>
  <c r="E3" i="4"/>
  <c r="F3" i="4"/>
  <c r="G3" i="4"/>
  <c r="H3" i="4"/>
  <c r="I3" i="4"/>
  <c r="J3" i="4"/>
  <c r="A4" i="4"/>
  <c r="B4" i="4"/>
  <c r="C4" i="4"/>
  <c r="D4" i="4"/>
  <c r="E4" i="4"/>
  <c r="F4" i="4"/>
  <c r="G4" i="4"/>
  <c r="H4" i="4"/>
  <c r="I4" i="4"/>
  <c r="J4" i="4"/>
  <c r="A5" i="4"/>
  <c r="B5" i="4"/>
  <c r="C5" i="4"/>
  <c r="D5" i="4"/>
  <c r="E5" i="4"/>
  <c r="F5" i="4"/>
  <c r="G5" i="4"/>
  <c r="H5" i="4"/>
  <c r="I5" i="4"/>
  <c r="J5" i="4"/>
  <c r="A6" i="4"/>
  <c r="B6" i="4"/>
  <c r="C6" i="4"/>
  <c r="D6" i="4"/>
  <c r="E6" i="4"/>
  <c r="F6" i="4"/>
  <c r="G6" i="4"/>
  <c r="H6" i="4"/>
  <c r="I6" i="4"/>
  <c r="J6" i="4"/>
  <c r="A7" i="4"/>
  <c r="B7" i="4"/>
  <c r="C7" i="4"/>
  <c r="D7" i="4"/>
  <c r="E7" i="4"/>
  <c r="F7" i="4"/>
  <c r="G7" i="4"/>
  <c r="H7" i="4"/>
  <c r="I7" i="4"/>
  <c r="J7" i="4"/>
  <c r="A8" i="4"/>
  <c r="B8" i="4"/>
  <c r="C8" i="4"/>
  <c r="D8" i="4"/>
  <c r="E8" i="4"/>
  <c r="F8" i="4"/>
  <c r="G8" i="4"/>
  <c r="H8" i="4"/>
  <c r="I8" i="4"/>
  <c r="J8" i="4"/>
  <c r="A9" i="4"/>
  <c r="B9" i="4"/>
  <c r="C9" i="4"/>
  <c r="D9" i="4"/>
  <c r="E9" i="4"/>
  <c r="F9" i="4"/>
  <c r="G9" i="4"/>
  <c r="H9" i="4"/>
  <c r="I9" i="4"/>
  <c r="J9" i="4"/>
  <c r="A10" i="4"/>
  <c r="B10" i="4"/>
  <c r="C10" i="4"/>
  <c r="D10" i="4"/>
  <c r="E10" i="4"/>
  <c r="F10" i="4"/>
  <c r="G10" i="4"/>
  <c r="H10" i="4"/>
  <c r="I10" i="4"/>
  <c r="J10" i="4"/>
  <c r="A11" i="4"/>
  <c r="B11" i="4"/>
  <c r="C11" i="4"/>
  <c r="D11" i="4"/>
  <c r="E11" i="4"/>
  <c r="F11" i="4"/>
  <c r="G11" i="4"/>
  <c r="H11" i="4"/>
  <c r="I11" i="4"/>
  <c r="J11" i="4"/>
  <c r="A12" i="4"/>
  <c r="B12" i="4"/>
  <c r="C12" i="4"/>
  <c r="D12" i="4"/>
  <c r="E12" i="4"/>
  <c r="F12" i="4"/>
  <c r="G12" i="4"/>
  <c r="H12" i="4"/>
  <c r="I12" i="4"/>
  <c r="J12" i="4"/>
  <c r="A13" i="4"/>
  <c r="B13" i="4"/>
  <c r="C13" i="4"/>
  <c r="D13" i="4"/>
  <c r="E13" i="4"/>
  <c r="F13" i="4"/>
  <c r="G13" i="4"/>
  <c r="H13" i="4"/>
  <c r="I13" i="4"/>
  <c r="J13" i="4"/>
  <c r="A14" i="4"/>
  <c r="B14" i="4"/>
  <c r="C14" i="4"/>
  <c r="D14" i="4"/>
  <c r="E14" i="4"/>
  <c r="F14" i="4"/>
  <c r="G14" i="4"/>
  <c r="H14" i="4"/>
  <c r="I14" i="4"/>
  <c r="J14" i="4"/>
  <c r="A15" i="4"/>
  <c r="B15" i="4"/>
  <c r="C15" i="4"/>
  <c r="D15" i="4"/>
  <c r="E15" i="4"/>
  <c r="F15" i="4"/>
  <c r="G15" i="4"/>
  <c r="H15" i="4"/>
  <c r="I15" i="4"/>
  <c r="J15" i="4"/>
  <c r="A16" i="4"/>
  <c r="B16" i="4"/>
  <c r="C16" i="4"/>
  <c r="D16" i="4"/>
  <c r="E16" i="4"/>
  <c r="F16" i="4"/>
  <c r="G16" i="4"/>
  <c r="H16" i="4"/>
  <c r="I16" i="4"/>
  <c r="J16" i="4"/>
  <c r="A17" i="4"/>
  <c r="B17" i="4"/>
  <c r="C17" i="4"/>
  <c r="D17" i="4"/>
  <c r="E17" i="4"/>
  <c r="F17" i="4"/>
  <c r="G17" i="4"/>
  <c r="H17" i="4"/>
  <c r="I17" i="4"/>
  <c r="J17" i="4"/>
  <c r="A18" i="4"/>
  <c r="B18" i="4"/>
  <c r="C18" i="4"/>
  <c r="D18" i="4"/>
  <c r="E18" i="4"/>
  <c r="F18" i="4"/>
  <c r="G18" i="4"/>
  <c r="H18" i="4"/>
  <c r="I18" i="4"/>
  <c r="J18" i="4"/>
  <c r="A19" i="4"/>
  <c r="B19" i="4"/>
  <c r="C19" i="4"/>
  <c r="D19" i="4"/>
  <c r="E19" i="4"/>
  <c r="F19" i="4"/>
  <c r="G19" i="4"/>
  <c r="H19" i="4"/>
  <c r="I19" i="4"/>
  <c r="J19" i="4"/>
  <c r="A20" i="4"/>
  <c r="B20" i="4"/>
  <c r="C20" i="4"/>
  <c r="D20" i="4"/>
  <c r="E20" i="4"/>
  <c r="F20" i="4"/>
  <c r="G20" i="4"/>
  <c r="H20" i="4"/>
  <c r="I20" i="4"/>
  <c r="J20" i="4"/>
  <c r="A21" i="4"/>
  <c r="B21" i="4"/>
  <c r="C21" i="4"/>
  <c r="D21" i="4"/>
  <c r="E21" i="4"/>
  <c r="F21" i="4"/>
  <c r="G21" i="4"/>
  <c r="H21" i="4"/>
  <c r="I21" i="4"/>
  <c r="J21" i="4"/>
  <c r="A22" i="4"/>
  <c r="B22" i="4"/>
  <c r="C22" i="4"/>
  <c r="D22" i="4"/>
  <c r="E22" i="4"/>
  <c r="F22" i="4"/>
  <c r="G22" i="4"/>
  <c r="H22" i="4"/>
  <c r="I22" i="4"/>
  <c r="J22" i="4"/>
  <c r="A23" i="4"/>
  <c r="B23" i="4"/>
  <c r="C23" i="4"/>
  <c r="D23" i="4"/>
  <c r="E23" i="4"/>
  <c r="F23" i="4"/>
  <c r="G23" i="4"/>
  <c r="H23" i="4"/>
  <c r="I23" i="4"/>
  <c r="J23" i="4"/>
  <c r="A24" i="4"/>
  <c r="B24" i="4"/>
  <c r="C24" i="4"/>
  <c r="D24" i="4"/>
  <c r="E24" i="4"/>
  <c r="F24" i="4"/>
  <c r="G24" i="4"/>
  <c r="H24" i="4"/>
  <c r="I24" i="4"/>
  <c r="J24" i="4"/>
  <c r="A25" i="4"/>
  <c r="B25" i="4"/>
  <c r="C25" i="4"/>
  <c r="D25" i="4"/>
  <c r="E25" i="4"/>
  <c r="F25" i="4"/>
  <c r="G25" i="4"/>
  <c r="H25" i="4"/>
  <c r="I25" i="4"/>
  <c r="J25" i="4"/>
  <c r="A26" i="4"/>
  <c r="B26" i="4"/>
  <c r="C26" i="4"/>
  <c r="D26" i="4"/>
  <c r="E26" i="4"/>
  <c r="F26" i="4"/>
  <c r="G26" i="4"/>
  <c r="H26" i="4"/>
  <c r="I26" i="4"/>
  <c r="J26" i="4"/>
  <c r="A27" i="4"/>
  <c r="B27" i="4"/>
  <c r="C27" i="4"/>
  <c r="D27" i="4"/>
  <c r="E27" i="4"/>
  <c r="F27" i="4"/>
  <c r="G27" i="4"/>
  <c r="H27" i="4"/>
  <c r="I27" i="4"/>
  <c r="J27" i="4"/>
  <c r="A28" i="4"/>
  <c r="B28" i="4"/>
  <c r="C28" i="4"/>
  <c r="D28" i="4"/>
  <c r="E28" i="4"/>
  <c r="F28" i="4"/>
  <c r="G28" i="4"/>
  <c r="H28" i="4"/>
  <c r="I28" i="4"/>
  <c r="J28" i="4"/>
  <c r="A29" i="4"/>
  <c r="B29" i="4"/>
  <c r="C29" i="4"/>
  <c r="D29" i="4"/>
  <c r="E29" i="4"/>
  <c r="F29" i="4"/>
  <c r="G29" i="4"/>
  <c r="H29" i="4"/>
  <c r="I29" i="4"/>
  <c r="J29" i="4"/>
  <c r="A30" i="4"/>
  <c r="B30" i="4"/>
  <c r="C30" i="4"/>
  <c r="D30" i="4"/>
  <c r="E30" i="4"/>
  <c r="F30" i="4"/>
  <c r="G30" i="4"/>
  <c r="H30" i="4"/>
  <c r="I30" i="4"/>
  <c r="J30" i="4"/>
  <c r="A31" i="4"/>
  <c r="B31" i="4"/>
  <c r="C31" i="4"/>
  <c r="D31" i="4"/>
  <c r="E31" i="4"/>
  <c r="F31" i="4"/>
  <c r="G31" i="4"/>
  <c r="H31" i="4"/>
  <c r="I31" i="4"/>
  <c r="J31" i="4"/>
  <c r="A32" i="4"/>
  <c r="B32" i="4"/>
  <c r="C32" i="4"/>
  <c r="D32" i="4"/>
  <c r="E32" i="4"/>
  <c r="F32" i="4"/>
  <c r="G32" i="4"/>
  <c r="H32" i="4"/>
  <c r="I32" i="4"/>
  <c r="J32" i="4"/>
  <c r="A33" i="4"/>
  <c r="B33" i="4"/>
  <c r="C33" i="4"/>
  <c r="D33" i="4"/>
  <c r="E33" i="4"/>
  <c r="F33" i="4"/>
  <c r="G33" i="4"/>
  <c r="H33" i="4"/>
  <c r="I33" i="4"/>
  <c r="J33" i="4"/>
  <c r="A34" i="4"/>
  <c r="B34" i="4"/>
  <c r="C34" i="4"/>
  <c r="D34" i="4"/>
  <c r="E34" i="4"/>
  <c r="F34" i="4"/>
  <c r="G34" i="4"/>
  <c r="H34" i="4"/>
  <c r="I34" i="4"/>
  <c r="J34" i="4"/>
  <c r="A35" i="4"/>
  <c r="B35" i="4"/>
  <c r="C35" i="4"/>
  <c r="D35" i="4"/>
  <c r="E35" i="4"/>
  <c r="F35" i="4"/>
  <c r="G35" i="4"/>
  <c r="H35" i="4"/>
  <c r="I35" i="4"/>
  <c r="J35" i="4"/>
  <c r="A36" i="4"/>
  <c r="B36" i="4"/>
  <c r="C36" i="4"/>
  <c r="D36" i="4"/>
  <c r="E36" i="4"/>
  <c r="F36" i="4"/>
  <c r="G36" i="4"/>
  <c r="H36" i="4"/>
  <c r="I36" i="4"/>
  <c r="J36" i="4"/>
  <c r="A37" i="4"/>
  <c r="B37" i="4"/>
  <c r="C37" i="4"/>
  <c r="D37" i="4"/>
  <c r="E37" i="4"/>
  <c r="F37" i="4"/>
  <c r="G37" i="4"/>
  <c r="H37" i="4"/>
  <c r="I37" i="4"/>
  <c r="J37" i="4"/>
  <c r="A38" i="4"/>
  <c r="B38" i="4"/>
  <c r="C38" i="4"/>
  <c r="D38" i="4"/>
  <c r="E38" i="4"/>
  <c r="F38" i="4"/>
  <c r="G38" i="4"/>
  <c r="H38" i="4"/>
  <c r="I38" i="4"/>
  <c r="J38" i="4"/>
  <c r="A39" i="4"/>
  <c r="B39" i="4"/>
  <c r="C39" i="4"/>
  <c r="D39" i="4"/>
  <c r="E39" i="4"/>
  <c r="F39" i="4"/>
  <c r="G39" i="4"/>
  <c r="H39" i="4"/>
  <c r="I39" i="4"/>
  <c r="J39" i="4"/>
  <c r="A40" i="4"/>
  <c r="B40" i="4"/>
  <c r="C40" i="4"/>
  <c r="D40" i="4"/>
  <c r="E40" i="4"/>
  <c r="F40" i="4"/>
  <c r="G40" i="4"/>
  <c r="H40" i="4"/>
  <c r="I40" i="4"/>
  <c r="J40" i="4"/>
  <c r="A41" i="4"/>
  <c r="B41" i="4"/>
  <c r="C41" i="4"/>
  <c r="D41" i="4"/>
  <c r="E41" i="4"/>
  <c r="F41" i="4"/>
  <c r="G41" i="4"/>
  <c r="H41" i="4"/>
  <c r="I41" i="4"/>
  <c r="J41" i="4"/>
  <c r="A42" i="4"/>
  <c r="B42" i="4"/>
  <c r="C42" i="4"/>
  <c r="D42" i="4"/>
  <c r="E42" i="4"/>
  <c r="F42" i="4"/>
  <c r="G42" i="4"/>
  <c r="H42" i="4"/>
  <c r="I42" i="4"/>
  <c r="J42" i="4"/>
  <c r="A43" i="4"/>
  <c r="B43" i="4"/>
  <c r="C43" i="4"/>
  <c r="D43" i="4"/>
  <c r="E43" i="4"/>
  <c r="F43" i="4"/>
  <c r="G43" i="4"/>
  <c r="H43" i="4"/>
  <c r="I43" i="4"/>
  <c r="J43" i="4"/>
  <c r="A44" i="4"/>
  <c r="B44" i="4"/>
  <c r="C44" i="4"/>
  <c r="D44" i="4"/>
  <c r="E44" i="4"/>
  <c r="F44" i="4"/>
  <c r="G44" i="4"/>
  <c r="H44" i="4"/>
  <c r="I44" i="4"/>
  <c r="J44" i="4"/>
  <c r="A45" i="4"/>
  <c r="B45" i="4"/>
  <c r="C45" i="4"/>
  <c r="D45" i="4"/>
  <c r="E45" i="4"/>
  <c r="F45" i="4"/>
  <c r="G45" i="4"/>
  <c r="H45" i="4"/>
  <c r="I45" i="4"/>
  <c r="J45" i="4"/>
  <c r="A46" i="4"/>
  <c r="B46" i="4"/>
  <c r="C46" i="4"/>
  <c r="D46" i="4"/>
  <c r="E46" i="4"/>
  <c r="F46" i="4"/>
  <c r="G46" i="4"/>
  <c r="H46" i="4"/>
  <c r="I46" i="4"/>
  <c r="J46" i="4"/>
  <c r="A47" i="4"/>
  <c r="B47" i="4"/>
  <c r="C47" i="4"/>
  <c r="D47" i="4"/>
  <c r="E47" i="4"/>
  <c r="F47" i="4"/>
  <c r="G47" i="4"/>
  <c r="H47" i="4"/>
  <c r="I47" i="4"/>
  <c r="J47" i="4"/>
  <c r="A48" i="4"/>
  <c r="B48" i="4"/>
  <c r="C48" i="4"/>
  <c r="D48" i="4"/>
  <c r="E48" i="4"/>
  <c r="F48" i="4"/>
  <c r="G48" i="4"/>
  <c r="H48" i="4"/>
  <c r="I48" i="4"/>
  <c r="J48" i="4"/>
  <c r="A49" i="4"/>
  <c r="B49" i="4"/>
  <c r="C49" i="4"/>
  <c r="D49" i="4"/>
  <c r="E49" i="4"/>
  <c r="F49" i="4"/>
  <c r="G49" i="4"/>
  <c r="H49" i="4"/>
  <c r="I49" i="4"/>
  <c r="J49" i="4"/>
  <c r="A50" i="4"/>
  <c r="B50" i="4"/>
  <c r="C50" i="4"/>
  <c r="D50" i="4"/>
  <c r="E50" i="4"/>
  <c r="F50" i="4"/>
  <c r="G50" i="4"/>
  <c r="H50" i="4"/>
  <c r="I50" i="4"/>
  <c r="J50" i="4"/>
  <c r="A51" i="4"/>
  <c r="B51" i="4"/>
  <c r="C51" i="4"/>
  <c r="D51" i="4"/>
  <c r="E51" i="4"/>
  <c r="F51" i="4"/>
  <c r="G51" i="4"/>
  <c r="H51" i="4"/>
  <c r="I51" i="4"/>
  <c r="J51" i="4"/>
  <c r="A52" i="4"/>
  <c r="B52" i="4"/>
  <c r="C52" i="4"/>
  <c r="D52" i="4"/>
  <c r="E52" i="4"/>
  <c r="F52" i="4"/>
  <c r="G52" i="4"/>
  <c r="H52" i="4"/>
  <c r="I52" i="4"/>
  <c r="J52" i="4"/>
  <c r="A53" i="4"/>
  <c r="B53" i="4"/>
  <c r="C53" i="4"/>
  <c r="D53" i="4"/>
  <c r="E53" i="4"/>
  <c r="F53" i="4"/>
  <c r="G53" i="4"/>
  <c r="H53" i="4"/>
  <c r="I53" i="4"/>
  <c r="J53" i="4"/>
  <c r="A54" i="4"/>
  <c r="B54" i="4"/>
  <c r="C54" i="4"/>
  <c r="D54" i="4"/>
  <c r="E54" i="4"/>
  <c r="F54" i="4"/>
  <c r="G54" i="4"/>
  <c r="H54" i="4"/>
  <c r="I54" i="4"/>
  <c r="J54" i="4"/>
  <c r="A55" i="4"/>
  <c r="B55" i="4"/>
  <c r="C55" i="4"/>
  <c r="D55" i="4"/>
  <c r="E55" i="4"/>
  <c r="F55" i="4"/>
  <c r="G55" i="4"/>
  <c r="H55" i="4"/>
  <c r="I55" i="4"/>
  <c r="J55" i="4"/>
  <c r="A56" i="4"/>
  <c r="B56" i="4"/>
  <c r="C56" i="4"/>
  <c r="D56" i="4"/>
  <c r="E56" i="4"/>
  <c r="F56" i="4"/>
  <c r="G56" i="4"/>
  <c r="H56" i="4"/>
  <c r="I56" i="4"/>
  <c r="J56" i="4"/>
  <c r="A57" i="4"/>
  <c r="B57" i="4"/>
  <c r="C57" i="4"/>
  <c r="D57" i="4"/>
  <c r="E57" i="4"/>
  <c r="F57" i="4"/>
  <c r="G57" i="4"/>
  <c r="H57" i="4"/>
  <c r="I57" i="4"/>
  <c r="J57" i="4"/>
  <c r="A58" i="4"/>
  <c r="B58" i="4"/>
  <c r="C58" i="4"/>
  <c r="D58" i="4"/>
  <c r="E58" i="4"/>
  <c r="F58" i="4"/>
  <c r="G58" i="4"/>
  <c r="H58" i="4"/>
  <c r="I58" i="4"/>
  <c r="J58" i="4"/>
  <c r="B2" i="4"/>
  <c r="C2" i="4"/>
  <c r="D2" i="4"/>
  <c r="E2" i="4"/>
  <c r="F2" i="4"/>
  <c r="G2" i="4"/>
  <c r="H2" i="4"/>
  <c r="I2" i="4"/>
  <c r="J2" i="4"/>
  <c r="A2" i="4"/>
  <c r="G2" i="2" l="1"/>
  <c r="E2" i="2"/>
  <c r="B2" i="2"/>
  <c r="A5" i="2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4" i="2"/>
  <c r="A3" i="2"/>
  <c r="B6" i="3"/>
  <c r="B5" i="3"/>
  <c r="H2" i="2" s="1"/>
  <c r="B3" i="2" l="1"/>
  <c r="I2" i="2"/>
  <c r="C2" i="2"/>
  <c r="C3" i="2" s="1"/>
  <c r="E3" i="2"/>
  <c r="B4" i="2" l="1"/>
  <c r="I3" i="2"/>
  <c r="C4" i="2"/>
  <c r="D2" i="2"/>
  <c r="F2" i="2" s="1"/>
  <c r="J2" i="2" s="1"/>
  <c r="K2" i="2" s="1"/>
  <c r="D3" i="2"/>
  <c r="F3" i="2" s="1"/>
  <c r="E4" i="2"/>
  <c r="D4" i="2"/>
  <c r="G3" i="2" l="1"/>
  <c r="H3" i="2" s="1"/>
  <c r="C5" i="2"/>
  <c r="B5" i="2"/>
  <c r="I4" i="2"/>
  <c r="E5" i="2"/>
  <c r="F4" i="2"/>
  <c r="D5" i="2" l="1"/>
  <c r="F5" i="2" s="1"/>
  <c r="B6" i="2"/>
  <c r="I5" i="2"/>
  <c r="E6" i="2"/>
  <c r="J3" i="2"/>
  <c r="B7" i="2" l="1"/>
  <c r="I6" i="2"/>
  <c r="C6" i="2"/>
  <c r="K3" i="2"/>
  <c r="E7" i="2"/>
  <c r="G4" i="2"/>
  <c r="H4" i="2" s="1"/>
  <c r="J4" i="2" s="1"/>
  <c r="B8" i="2" l="1"/>
  <c r="I7" i="2"/>
  <c r="C7" i="2"/>
  <c r="D6" i="2"/>
  <c r="F6" i="2" s="1"/>
  <c r="G5" i="2"/>
  <c r="H5" i="2" s="1"/>
  <c r="J5" i="2" s="1"/>
  <c r="K4" i="2"/>
  <c r="E8" i="2"/>
  <c r="C8" i="2" l="1"/>
  <c r="D7" i="2"/>
  <c r="F7" i="2" s="1"/>
  <c r="B9" i="2"/>
  <c r="I8" i="2"/>
  <c r="K5" i="2"/>
  <c r="G6" i="2"/>
  <c r="H6" i="2" s="1"/>
  <c r="J6" i="2" s="1"/>
  <c r="E9" i="2"/>
  <c r="B10" i="2" l="1"/>
  <c r="I9" i="2"/>
  <c r="C9" i="2"/>
  <c r="D8" i="2"/>
  <c r="F8" i="2" s="1"/>
  <c r="G7" i="2"/>
  <c r="H7" i="2" s="1"/>
  <c r="J7" i="2" s="1"/>
  <c r="K7" i="2" s="1"/>
  <c r="K6" i="2"/>
  <c r="E10" i="2"/>
  <c r="C10" i="2" l="1"/>
  <c r="D9" i="2"/>
  <c r="F9" i="2"/>
  <c r="B11" i="2"/>
  <c r="I10" i="2"/>
  <c r="E11" i="2"/>
  <c r="G8" i="2"/>
  <c r="B12" i="2" l="1"/>
  <c r="I11" i="2"/>
  <c r="C11" i="2"/>
  <c r="D10" i="2"/>
  <c r="F10" i="2" s="1"/>
  <c r="E12" i="2"/>
  <c r="H8" i="2"/>
  <c r="J8" i="2" s="1"/>
  <c r="C12" i="2" l="1"/>
  <c r="D11" i="2"/>
  <c r="F11" i="2" s="1"/>
  <c r="B13" i="2"/>
  <c r="I12" i="2"/>
  <c r="G9" i="2"/>
  <c r="H9" i="2" s="1"/>
  <c r="J9" i="2" s="1"/>
  <c r="K8" i="2"/>
  <c r="E13" i="2"/>
  <c r="B14" i="2" l="1"/>
  <c r="I13" i="2"/>
  <c r="C13" i="2"/>
  <c r="D12" i="2"/>
  <c r="F12" i="2" s="1"/>
  <c r="G10" i="2"/>
  <c r="H10" i="2" s="1"/>
  <c r="J10" i="2" s="1"/>
  <c r="K9" i="2"/>
  <c r="E14" i="2"/>
  <c r="B15" i="2" l="1"/>
  <c r="I14" i="2"/>
  <c r="C14" i="2"/>
  <c r="D13" i="2"/>
  <c r="F13" i="2"/>
  <c r="G11" i="2"/>
  <c r="H11" i="2" s="1"/>
  <c r="J11" i="2" s="1"/>
  <c r="K10" i="2"/>
  <c r="E15" i="2"/>
  <c r="B16" i="2" l="1"/>
  <c r="I15" i="2"/>
  <c r="C15" i="2"/>
  <c r="D14" i="2"/>
  <c r="F14" i="2" s="1"/>
  <c r="G12" i="2"/>
  <c r="H12" i="2" s="1"/>
  <c r="J12" i="2" s="1"/>
  <c r="K11" i="2"/>
  <c r="E16" i="2"/>
  <c r="C16" i="2" l="1"/>
  <c r="D15" i="2"/>
  <c r="B17" i="2"/>
  <c r="I16" i="2"/>
  <c r="F15" i="2"/>
  <c r="G13" i="2"/>
  <c r="H13" i="2" s="1"/>
  <c r="J13" i="2" s="1"/>
  <c r="K12" i="2"/>
  <c r="E17" i="2"/>
  <c r="B18" i="2" l="1"/>
  <c r="I17" i="2"/>
  <c r="C17" i="2"/>
  <c r="D16" i="2"/>
  <c r="F16" i="2" s="1"/>
  <c r="G14" i="2"/>
  <c r="H14" i="2" s="1"/>
  <c r="J14" i="2" s="1"/>
  <c r="K13" i="2"/>
  <c r="E18" i="2"/>
  <c r="C18" i="2" l="1"/>
  <c r="D17" i="2"/>
  <c r="F17" i="2" s="1"/>
  <c r="B19" i="2"/>
  <c r="I18" i="2"/>
  <c r="G15" i="2"/>
  <c r="H15" i="2" s="1"/>
  <c r="J15" i="2" s="1"/>
  <c r="K14" i="2"/>
  <c r="E19" i="2"/>
  <c r="C19" i="2" l="1"/>
  <c r="D18" i="2"/>
  <c r="B20" i="2"/>
  <c r="I19" i="2"/>
  <c r="F18" i="2"/>
  <c r="G16" i="2"/>
  <c r="H16" i="2" s="1"/>
  <c r="J16" i="2" s="1"/>
  <c r="K15" i="2"/>
  <c r="E20" i="2"/>
  <c r="C20" i="2" l="1"/>
  <c r="D19" i="2"/>
  <c r="F19" i="2" s="1"/>
  <c r="B21" i="2"/>
  <c r="I20" i="2"/>
  <c r="G17" i="2"/>
  <c r="H17" i="2" s="1"/>
  <c r="J17" i="2" s="1"/>
  <c r="K16" i="2"/>
  <c r="E21" i="2"/>
  <c r="B22" i="2" l="1"/>
  <c r="I21" i="2"/>
  <c r="C21" i="2"/>
  <c r="D20" i="2"/>
  <c r="F20" i="2" s="1"/>
  <c r="G18" i="2"/>
  <c r="H18" i="2" s="1"/>
  <c r="J18" i="2" s="1"/>
  <c r="K17" i="2"/>
  <c r="E22" i="2"/>
  <c r="C22" i="2" l="1"/>
  <c r="D21" i="2"/>
  <c r="F21" i="2" s="1"/>
  <c r="B23" i="2"/>
  <c r="I22" i="2"/>
  <c r="G19" i="2"/>
  <c r="H19" i="2" s="1"/>
  <c r="J19" i="2" s="1"/>
  <c r="K18" i="2"/>
  <c r="E23" i="2"/>
  <c r="B24" i="2" l="1"/>
  <c r="I23" i="2"/>
  <c r="C23" i="2"/>
  <c r="D22" i="2"/>
  <c r="F22" i="2" s="1"/>
  <c r="G20" i="2"/>
  <c r="H20" i="2" s="1"/>
  <c r="J20" i="2" s="1"/>
  <c r="K19" i="2"/>
  <c r="E24" i="2"/>
  <c r="C24" i="2" l="1"/>
  <c r="D23" i="2"/>
  <c r="B25" i="2"/>
  <c r="I24" i="2"/>
  <c r="F23" i="2"/>
  <c r="G21" i="2"/>
  <c r="H21" i="2" s="1"/>
  <c r="J21" i="2" s="1"/>
  <c r="K20" i="2"/>
  <c r="E25" i="2"/>
  <c r="B26" i="2" l="1"/>
  <c r="I25" i="2"/>
  <c r="C25" i="2"/>
  <c r="D24" i="2"/>
  <c r="F24" i="2" s="1"/>
  <c r="G22" i="2"/>
  <c r="H22" i="2" s="1"/>
  <c r="J22" i="2" s="1"/>
  <c r="K21" i="2"/>
  <c r="E26" i="2"/>
  <c r="B27" i="2" l="1"/>
  <c r="I26" i="2"/>
  <c r="C26" i="2"/>
  <c r="D25" i="2"/>
  <c r="F25" i="2"/>
  <c r="G23" i="2"/>
  <c r="H23" i="2" s="1"/>
  <c r="J23" i="2" s="1"/>
  <c r="K22" i="2"/>
  <c r="E27" i="2"/>
  <c r="B28" i="2" l="1"/>
  <c r="B29" i="2" s="1"/>
  <c r="I27" i="2"/>
  <c r="C27" i="2"/>
  <c r="D26" i="2"/>
  <c r="F26" i="2" s="1"/>
  <c r="G24" i="2"/>
  <c r="H24" i="2" s="1"/>
  <c r="J24" i="2" s="1"/>
  <c r="K23" i="2"/>
  <c r="E28" i="2"/>
  <c r="F27" i="2"/>
  <c r="B30" i="2" l="1"/>
  <c r="C29" i="2"/>
  <c r="C28" i="2"/>
  <c r="D28" i="2" s="1"/>
  <c r="F28" i="2" s="1"/>
  <c r="D27" i="2"/>
  <c r="G25" i="2"/>
  <c r="H25" i="2" s="1"/>
  <c r="J25" i="2" s="1"/>
  <c r="K24" i="2"/>
  <c r="E29" i="2"/>
  <c r="I28" i="2"/>
  <c r="D29" i="2"/>
  <c r="F29" i="2" s="1"/>
  <c r="B31" i="2" l="1"/>
  <c r="C30" i="2"/>
  <c r="D30" i="2" s="1"/>
  <c r="F30" i="2" s="1"/>
  <c r="G26" i="2"/>
  <c r="H26" i="2" s="1"/>
  <c r="J26" i="2" s="1"/>
  <c r="K25" i="2"/>
  <c r="E30" i="2"/>
  <c r="I29" i="2"/>
  <c r="B32" i="2" l="1"/>
  <c r="B33" i="2" s="1"/>
  <c r="C31" i="2"/>
  <c r="C32" i="2" s="1"/>
  <c r="G27" i="2"/>
  <c r="H27" i="2" s="1"/>
  <c r="J27" i="2" s="1"/>
  <c r="K26" i="2"/>
  <c r="E31" i="2"/>
  <c r="I30" i="2"/>
  <c r="D31" i="2" l="1"/>
  <c r="F31" i="2" s="1"/>
  <c r="B34" i="2"/>
  <c r="C33" i="2"/>
  <c r="G28" i="2"/>
  <c r="H28" i="2" s="1"/>
  <c r="J28" i="2" s="1"/>
  <c r="K27" i="2"/>
  <c r="E32" i="2"/>
  <c r="I31" i="2"/>
  <c r="D32" i="2"/>
  <c r="F32" i="2" s="1"/>
  <c r="B35" i="2" l="1"/>
  <c r="C34" i="2"/>
  <c r="G29" i="2"/>
  <c r="H29" i="2" s="1"/>
  <c r="J29" i="2" s="1"/>
  <c r="K28" i="2"/>
  <c r="E33" i="2"/>
  <c r="I32" i="2"/>
  <c r="D33" i="2"/>
  <c r="F33" i="2" s="1"/>
  <c r="B36" i="2" l="1"/>
  <c r="C35" i="2"/>
  <c r="G30" i="2"/>
  <c r="H30" i="2" s="1"/>
  <c r="J30" i="2" s="1"/>
  <c r="K29" i="2"/>
  <c r="E34" i="2"/>
  <c r="I33" i="2"/>
  <c r="D34" i="2"/>
  <c r="F34" i="2" s="1"/>
  <c r="B37" i="2" l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C36" i="2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G31" i="2"/>
  <c r="H31" i="2" s="1"/>
  <c r="J31" i="2" s="1"/>
  <c r="K30" i="2"/>
  <c r="E35" i="2"/>
  <c r="I34" i="2"/>
  <c r="D35" i="2"/>
  <c r="F35" i="2" s="1"/>
  <c r="B48" i="2" l="1"/>
  <c r="F47" i="2"/>
  <c r="C47" i="2"/>
  <c r="G32" i="2"/>
  <c r="H32" i="2" s="1"/>
  <c r="J32" i="2" s="1"/>
  <c r="K31" i="2"/>
  <c r="E36" i="2"/>
  <c r="I35" i="2"/>
  <c r="D36" i="2"/>
  <c r="F36" i="2" s="1"/>
  <c r="B49" i="2" l="1"/>
  <c r="F48" i="2"/>
  <c r="C48" i="2"/>
  <c r="G33" i="2"/>
  <c r="H33" i="2" s="1"/>
  <c r="J33" i="2" s="1"/>
  <c r="K32" i="2"/>
  <c r="E37" i="2"/>
  <c r="I36" i="2"/>
  <c r="D37" i="2"/>
  <c r="F37" i="2" s="1"/>
  <c r="B50" i="2" l="1"/>
  <c r="F49" i="2"/>
  <c r="C49" i="2"/>
  <c r="G34" i="2"/>
  <c r="H34" i="2" s="1"/>
  <c r="J34" i="2" s="1"/>
  <c r="K33" i="2"/>
  <c r="E38" i="2"/>
  <c r="I37" i="2"/>
  <c r="D38" i="2"/>
  <c r="F38" i="2" s="1"/>
  <c r="B51" i="2" l="1"/>
  <c r="F50" i="2"/>
  <c r="C50" i="2"/>
  <c r="G35" i="2"/>
  <c r="H35" i="2" s="1"/>
  <c r="J35" i="2" s="1"/>
  <c r="K34" i="2"/>
  <c r="E39" i="2"/>
  <c r="I38" i="2"/>
  <c r="D39" i="2"/>
  <c r="F39" i="2" s="1"/>
  <c r="B52" i="2" l="1"/>
  <c r="F51" i="2"/>
  <c r="C51" i="2"/>
  <c r="G36" i="2"/>
  <c r="H36" i="2" s="1"/>
  <c r="J36" i="2" s="1"/>
  <c r="K35" i="2"/>
  <c r="E40" i="2"/>
  <c r="I39" i="2"/>
  <c r="D40" i="2"/>
  <c r="F40" i="2" s="1"/>
  <c r="B53" i="2" l="1"/>
  <c r="F52" i="2"/>
  <c r="C52" i="2"/>
  <c r="G37" i="2"/>
  <c r="H37" i="2" s="1"/>
  <c r="J37" i="2" s="1"/>
  <c r="K36" i="2"/>
  <c r="E41" i="2"/>
  <c r="I40" i="2"/>
  <c r="D41" i="2"/>
  <c r="F41" i="2" s="1"/>
  <c r="B54" i="2" l="1"/>
  <c r="F53" i="2"/>
  <c r="C53" i="2"/>
  <c r="G38" i="2"/>
  <c r="H38" i="2" s="1"/>
  <c r="J38" i="2" s="1"/>
  <c r="K37" i="2"/>
  <c r="E42" i="2"/>
  <c r="I41" i="2"/>
  <c r="D42" i="2"/>
  <c r="F42" i="2" s="1"/>
  <c r="B55" i="2" l="1"/>
  <c r="F54" i="2"/>
  <c r="C54" i="2"/>
  <c r="G39" i="2"/>
  <c r="H39" i="2" s="1"/>
  <c r="J39" i="2" s="1"/>
  <c r="K38" i="2"/>
  <c r="E43" i="2"/>
  <c r="I42" i="2"/>
  <c r="D43" i="2"/>
  <c r="F43" i="2" s="1"/>
  <c r="B56" i="2" l="1"/>
  <c r="F55" i="2"/>
  <c r="C55" i="2"/>
  <c r="G40" i="2"/>
  <c r="H40" i="2" s="1"/>
  <c r="J40" i="2" s="1"/>
  <c r="K39" i="2"/>
  <c r="E44" i="2"/>
  <c r="I43" i="2"/>
  <c r="D44" i="2"/>
  <c r="F44" i="2" s="1"/>
  <c r="B57" i="2" l="1"/>
  <c r="F56" i="2"/>
  <c r="C56" i="2"/>
  <c r="G41" i="2"/>
  <c r="H41" i="2" s="1"/>
  <c r="J41" i="2" s="1"/>
  <c r="K40" i="2"/>
  <c r="E45" i="2"/>
  <c r="I44" i="2"/>
  <c r="D45" i="2"/>
  <c r="F45" i="2" s="1"/>
  <c r="B58" i="2" l="1"/>
  <c r="F57" i="2"/>
  <c r="C57" i="2"/>
  <c r="G42" i="2"/>
  <c r="H42" i="2" s="1"/>
  <c r="J42" i="2" s="1"/>
  <c r="K41" i="2"/>
  <c r="E46" i="2"/>
  <c r="I45" i="2"/>
  <c r="D46" i="2"/>
  <c r="F46" i="2" s="1"/>
  <c r="B59" i="2" l="1"/>
  <c r="F58" i="2"/>
  <c r="C58" i="2"/>
  <c r="G43" i="2"/>
  <c r="H43" i="2" s="1"/>
  <c r="J43" i="2" s="1"/>
  <c r="K42" i="2"/>
  <c r="E47" i="2"/>
  <c r="I46" i="2"/>
  <c r="D47" i="2"/>
  <c r="B60" i="2" l="1"/>
  <c r="F59" i="2"/>
  <c r="C59" i="2"/>
  <c r="G44" i="2"/>
  <c r="H44" i="2" s="1"/>
  <c r="J44" i="2" s="1"/>
  <c r="K43" i="2"/>
  <c r="E48" i="2"/>
  <c r="I47" i="2"/>
  <c r="D48" i="2"/>
  <c r="B61" i="2" l="1"/>
  <c r="F60" i="2"/>
  <c r="C60" i="2"/>
  <c r="G45" i="2"/>
  <c r="H45" i="2" s="1"/>
  <c r="J45" i="2" s="1"/>
  <c r="K44" i="2"/>
  <c r="E49" i="2"/>
  <c r="I48" i="2"/>
  <c r="D49" i="2"/>
  <c r="B62" i="2" l="1"/>
  <c r="F61" i="2"/>
  <c r="C61" i="2"/>
  <c r="G46" i="2"/>
  <c r="H46" i="2" s="1"/>
  <c r="J46" i="2" s="1"/>
  <c r="K45" i="2"/>
  <c r="E50" i="2"/>
  <c r="I49" i="2"/>
  <c r="D50" i="2"/>
  <c r="B63" i="2" l="1"/>
  <c r="F62" i="2"/>
  <c r="C62" i="2"/>
  <c r="G47" i="2"/>
  <c r="H47" i="2" s="1"/>
  <c r="J47" i="2" s="1"/>
  <c r="K46" i="2"/>
  <c r="E51" i="2"/>
  <c r="I50" i="2"/>
  <c r="D51" i="2"/>
  <c r="B64" i="2" l="1"/>
  <c r="F63" i="2"/>
  <c r="C63" i="2"/>
  <c r="G48" i="2"/>
  <c r="H48" i="2" s="1"/>
  <c r="J48" i="2" s="1"/>
  <c r="K47" i="2"/>
  <c r="E52" i="2"/>
  <c r="I51" i="2"/>
  <c r="D52" i="2"/>
  <c r="B65" i="2" l="1"/>
  <c r="F64" i="2"/>
  <c r="C64" i="2"/>
  <c r="G49" i="2"/>
  <c r="H49" i="2" s="1"/>
  <c r="J49" i="2" s="1"/>
  <c r="K48" i="2"/>
  <c r="E53" i="2"/>
  <c r="I52" i="2"/>
  <c r="D53" i="2"/>
  <c r="B66" i="2" l="1"/>
  <c r="F65" i="2"/>
  <c r="C65" i="2"/>
  <c r="G50" i="2"/>
  <c r="H50" i="2" s="1"/>
  <c r="J50" i="2" s="1"/>
  <c r="K49" i="2"/>
  <c r="E54" i="2"/>
  <c r="I53" i="2"/>
  <c r="D54" i="2"/>
  <c r="B67" i="2" l="1"/>
  <c r="F66" i="2"/>
  <c r="C66" i="2"/>
  <c r="G51" i="2"/>
  <c r="H51" i="2" s="1"/>
  <c r="J51" i="2" s="1"/>
  <c r="K50" i="2"/>
  <c r="E55" i="2"/>
  <c r="I54" i="2"/>
  <c r="D55" i="2"/>
  <c r="B68" i="2" l="1"/>
  <c r="F67" i="2"/>
  <c r="C67" i="2"/>
  <c r="G52" i="2"/>
  <c r="H52" i="2" s="1"/>
  <c r="J52" i="2" s="1"/>
  <c r="K51" i="2"/>
  <c r="E56" i="2"/>
  <c r="I55" i="2"/>
  <c r="D56" i="2"/>
  <c r="B69" i="2" l="1"/>
  <c r="F68" i="2"/>
  <c r="C68" i="2"/>
  <c r="G53" i="2"/>
  <c r="H53" i="2" s="1"/>
  <c r="J53" i="2" s="1"/>
  <c r="K52" i="2"/>
  <c r="E57" i="2"/>
  <c r="I56" i="2"/>
  <c r="D57" i="2"/>
  <c r="B70" i="2" l="1"/>
  <c r="F69" i="2"/>
  <c r="C69" i="2"/>
  <c r="G54" i="2"/>
  <c r="H54" i="2" s="1"/>
  <c r="J54" i="2" s="1"/>
  <c r="K53" i="2"/>
  <c r="E58" i="2"/>
  <c r="I57" i="2"/>
  <c r="D58" i="2"/>
  <c r="B71" i="2" l="1"/>
  <c r="F70" i="2"/>
  <c r="C70" i="2"/>
  <c r="G55" i="2"/>
  <c r="H55" i="2" s="1"/>
  <c r="J55" i="2" s="1"/>
  <c r="K54" i="2"/>
  <c r="E59" i="2"/>
  <c r="I58" i="2"/>
  <c r="D59" i="2"/>
  <c r="B72" i="2" l="1"/>
  <c r="F71" i="2"/>
  <c r="C71" i="2"/>
  <c r="G56" i="2"/>
  <c r="H56" i="2" s="1"/>
  <c r="J56" i="2" s="1"/>
  <c r="K55" i="2"/>
  <c r="E60" i="2"/>
  <c r="I59" i="2"/>
  <c r="D60" i="2"/>
  <c r="B73" i="2" l="1"/>
  <c r="F72" i="2"/>
  <c r="C72" i="2"/>
  <c r="G57" i="2"/>
  <c r="H57" i="2" s="1"/>
  <c r="J57" i="2" s="1"/>
  <c r="K56" i="2"/>
  <c r="E61" i="2"/>
  <c r="I60" i="2"/>
  <c r="D61" i="2"/>
  <c r="B74" i="2" l="1"/>
  <c r="F73" i="2"/>
  <c r="C73" i="2"/>
  <c r="G58" i="2"/>
  <c r="H58" i="2" s="1"/>
  <c r="J58" i="2" s="1"/>
  <c r="K57" i="2"/>
  <c r="E62" i="2"/>
  <c r="I61" i="2"/>
  <c r="D62" i="2"/>
  <c r="B75" i="2" l="1"/>
  <c r="F74" i="2"/>
  <c r="C74" i="2"/>
  <c r="G59" i="2"/>
  <c r="H59" i="2" s="1"/>
  <c r="J59" i="2" s="1"/>
  <c r="K58" i="2"/>
  <c r="E63" i="2"/>
  <c r="I62" i="2"/>
  <c r="D63" i="2"/>
  <c r="B76" i="2" l="1"/>
  <c r="F75" i="2"/>
  <c r="C75" i="2"/>
  <c r="G60" i="2"/>
  <c r="H60" i="2" s="1"/>
  <c r="J60" i="2" s="1"/>
  <c r="K59" i="2"/>
  <c r="E64" i="2"/>
  <c r="I63" i="2"/>
  <c r="D64" i="2"/>
  <c r="B77" i="2" l="1"/>
  <c r="F76" i="2"/>
  <c r="C76" i="2"/>
  <c r="G61" i="2"/>
  <c r="H61" i="2" s="1"/>
  <c r="J61" i="2" s="1"/>
  <c r="K60" i="2"/>
  <c r="E65" i="2"/>
  <c r="I64" i="2"/>
  <c r="D65" i="2"/>
  <c r="B78" i="2" l="1"/>
  <c r="F77" i="2"/>
  <c r="C77" i="2"/>
  <c r="G62" i="2"/>
  <c r="H62" i="2" s="1"/>
  <c r="J62" i="2" s="1"/>
  <c r="K61" i="2"/>
  <c r="E66" i="2"/>
  <c r="I65" i="2"/>
  <c r="D66" i="2"/>
  <c r="B79" i="2" l="1"/>
  <c r="F78" i="2"/>
  <c r="C78" i="2"/>
  <c r="G63" i="2"/>
  <c r="H63" i="2" s="1"/>
  <c r="J63" i="2" s="1"/>
  <c r="K62" i="2"/>
  <c r="E67" i="2"/>
  <c r="I66" i="2"/>
  <c r="D67" i="2"/>
  <c r="B80" i="2" l="1"/>
  <c r="F79" i="2"/>
  <c r="C79" i="2"/>
  <c r="G64" i="2"/>
  <c r="H64" i="2" s="1"/>
  <c r="J64" i="2" s="1"/>
  <c r="K63" i="2"/>
  <c r="E68" i="2"/>
  <c r="I67" i="2"/>
  <c r="D68" i="2"/>
  <c r="B81" i="2" l="1"/>
  <c r="F80" i="2"/>
  <c r="C80" i="2"/>
  <c r="G65" i="2"/>
  <c r="H65" i="2" s="1"/>
  <c r="J65" i="2" s="1"/>
  <c r="K64" i="2"/>
  <c r="E69" i="2"/>
  <c r="I68" i="2"/>
  <c r="D69" i="2"/>
  <c r="B82" i="2" l="1"/>
  <c r="F81" i="2"/>
  <c r="C81" i="2"/>
  <c r="G66" i="2"/>
  <c r="H66" i="2" s="1"/>
  <c r="J66" i="2" s="1"/>
  <c r="K65" i="2"/>
  <c r="E70" i="2"/>
  <c r="I69" i="2"/>
  <c r="D70" i="2"/>
  <c r="B83" i="2" l="1"/>
  <c r="F82" i="2"/>
  <c r="C82" i="2"/>
  <c r="G67" i="2"/>
  <c r="H67" i="2" s="1"/>
  <c r="J67" i="2" s="1"/>
  <c r="K66" i="2"/>
  <c r="E71" i="2"/>
  <c r="I70" i="2"/>
  <c r="D71" i="2"/>
  <c r="B84" i="2" l="1"/>
  <c r="F83" i="2"/>
  <c r="C83" i="2"/>
  <c r="G68" i="2"/>
  <c r="H68" i="2" s="1"/>
  <c r="J68" i="2" s="1"/>
  <c r="K67" i="2"/>
  <c r="E72" i="2"/>
  <c r="I71" i="2"/>
  <c r="D72" i="2"/>
  <c r="B85" i="2" l="1"/>
  <c r="F84" i="2"/>
  <c r="C84" i="2"/>
  <c r="G69" i="2"/>
  <c r="H69" i="2" s="1"/>
  <c r="J69" i="2" s="1"/>
  <c r="K68" i="2"/>
  <c r="E73" i="2"/>
  <c r="I72" i="2"/>
  <c r="D73" i="2"/>
  <c r="B86" i="2" l="1"/>
  <c r="F85" i="2"/>
  <c r="C85" i="2"/>
  <c r="G70" i="2"/>
  <c r="H70" i="2" s="1"/>
  <c r="J70" i="2" s="1"/>
  <c r="K69" i="2"/>
  <c r="E74" i="2"/>
  <c r="I73" i="2"/>
  <c r="D74" i="2"/>
  <c r="B87" i="2" l="1"/>
  <c r="F86" i="2"/>
  <c r="C86" i="2"/>
  <c r="G71" i="2"/>
  <c r="H71" i="2" s="1"/>
  <c r="J71" i="2" s="1"/>
  <c r="K70" i="2"/>
  <c r="E75" i="2"/>
  <c r="I74" i="2"/>
  <c r="D75" i="2"/>
  <c r="B88" i="2" l="1"/>
  <c r="F87" i="2"/>
  <c r="C87" i="2"/>
  <c r="G72" i="2"/>
  <c r="H72" i="2" s="1"/>
  <c r="J72" i="2" s="1"/>
  <c r="K71" i="2"/>
  <c r="E76" i="2"/>
  <c r="I75" i="2"/>
  <c r="D76" i="2"/>
  <c r="B89" i="2" l="1"/>
  <c r="F88" i="2"/>
  <c r="C88" i="2"/>
  <c r="G73" i="2"/>
  <c r="H73" i="2" s="1"/>
  <c r="J73" i="2" s="1"/>
  <c r="K72" i="2"/>
  <c r="E77" i="2"/>
  <c r="I76" i="2"/>
  <c r="D77" i="2"/>
  <c r="B90" i="2" l="1"/>
  <c r="F89" i="2"/>
  <c r="C89" i="2"/>
  <c r="G74" i="2"/>
  <c r="H74" i="2" s="1"/>
  <c r="J74" i="2" s="1"/>
  <c r="K73" i="2"/>
  <c r="E78" i="2"/>
  <c r="I77" i="2"/>
  <c r="D78" i="2"/>
  <c r="B91" i="2" l="1"/>
  <c r="F90" i="2"/>
  <c r="C90" i="2"/>
  <c r="G75" i="2"/>
  <c r="H75" i="2" s="1"/>
  <c r="J75" i="2" s="1"/>
  <c r="K74" i="2"/>
  <c r="E79" i="2"/>
  <c r="I78" i="2"/>
  <c r="D79" i="2"/>
  <c r="B92" i="2" l="1"/>
  <c r="F91" i="2"/>
  <c r="C91" i="2"/>
  <c r="G76" i="2"/>
  <c r="H76" i="2" s="1"/>
  <c r="J76" i="2" s="1"/>
  <c r="K75" i="2"/>
  <c r="E80" i="2"/>
  <c r="I79" i="2"/>
  <c r="D80" i="2"/>
  <c r="B93" i="2" l="1"/>
  <c r="F92" i="2"/>
  <c r="C92" i="2"/>
  <c r="G77" i="2"/>
  <c r="H77" i="2" s="1"/>
  <c r="J77" i="2" s="1"/>
  <c r="K76" i="2"/>
  <c r="E81" i="2"/>
  <c r="I80" i="2"/>
  <c r="D81" i="2"/>
  <c r="B94" i="2" l="1"/>
  <c r="F93" i="2"/>
  <c r="C93" i="2"/>
  <c r="G78" i="2"/>
  <c r="H78" i="2" s="1"/>
  <c r="J78" i="2" s="1"/>
  <c r="K77" i="2"/>
  <c r="E82" i="2"/>
  <c r="I81" i="2"/>
  <c r="D82" i="2"/>
  <c r="B95" i="2" l="1"/>
  <c r="F94" i="2"/>
  <c r="C94" i="2"/>
  <c r="G79" i="2"/>
  <c r="H79" i="2" s="1"/>
  <c r="J79" i="2" s="1"/>
  <c r="K78" i="2"/>
  <c r="E83" i="2"/>
  <c r="I82" i="2"/>
  <c r="D83" i="2"/>
  <c r="B96" i="2" l="1"/>
  <c r="F95" i="2"/>
  <c r="C95" i="2"/>
  <c r="G80" i="2"/>
  <c r="H80" i="2" s="1"/>
  <c r="J80" i="2" s="1"/>
  <c r="K79" i="2"/>
  <c r="E84" i="2"/>
  <c r="I83" i="2"/>
  <c r="D84" i="2"/>
  <c r="B97" i="2" l="1"/>
  <c r="F96" i="2"/>
  <c r="C96" i="2"/>
  <c r="G81" i="2"/>
  <c r="H81" i="2" s="1"/>
  <c r="J81" i="2" s="1"/>
  <c r="K80" i="2"/>
  <c r="E85" i="2"/>
  <c r="I84" i="2"/>
  <c r="D85" i="2"/>
  <c r="B98" i="2" l="1"/>
  <c r="F97" i="2"/>
  <c r="C97" i="2"/>
  <c r="G82" i="2"/>
  <c r="H82" i="2" s="1"/>
  <c r="J82" i="2" s="1"/>
  <c r="K81" i="2"/>
  <c r="E86" i="2"/>
  <c r="I85" i="2"/>
  <c r="D86" i="2"/>
  <c r="B99" i="2" l="1"/>
  <c r="F98" i="2"/>
  <c r="C98" i="2"/>
  <c r="G83" i="2"/>
  <c r="H83" i="2" s="1"/>
  <c r="J83" i="2" s="1"/>
  <c r="K82" i="2"/>
  <c r="E87" i="2"/>
  <c r="I86" i="2"/>
  <c r="D87" i="2"/>
  <c r="B100" i="2" l="1"/>
  <c r="F99" i="2"/>
  <c r="C99" i="2"/>
  <c r="G84" i="2"/>
  <c r="H84" i="2" s="1"/>
  <c r="J84" i="2" s="1"/>
  <c r="K83" i="2"/>
  <c r="E88" i="2"/>
  <c r="I87" i="2"/>
  <c r="D88" i="2"/>
  <c r="B101" i="2" l="1"/>
  <c r="F100" i="2"/>
  <c r="C100" i="2"/>
  <c r="G85" i="2"/>
  <c r="H85" i="2" s="1"/>
  <c r="J85" i="2" s="1"/>
  <c r="K84" i="2"/>
  <c r="E89" i="2"/>
  <c r="I88" i="2"/>
  <c r="D89" i="2"/>
  <c r="F101" i="2" l="1"/>
  <c r="C101" i="2"/>
  <c r="G86" i="2"/>
  <c r="H86" i="2" s="1"/>
  <c r="J86" i="2" s="1"/>
  <c r="K85" i="2"/>
  <c r="E90" i="2"/>
  <c r="I89" i="2"/>
  <c r="D90" i="2"/>
  <c r="G87" i="2" l="1"/>
  <c r="H87" i="2" s="1"/>
  <c r="J87" i="2" s="1"/>
  <c r="K86" i="2"/>
  <c r="E91" i="2"/>
  <c r="I90" i="2"/>
  <c r="D91" i="2"/>
  <c r="G88" i="2" l="1"/>
  <c r="H88" i="2" s="1"/>
  <c r="J88" i="2" s="1"/>
  <c r="K87" i="2"/>
  <c r="E92" i="2"/>
  <c r="I91" i="2"/>
  <c r="D92" i="2"/>
  <c r="G89" i="2" l="1"/>
  <c r="H89" i="2" s="1"/>
  <c r="J89" i="2" s="1"/>
  <c r="K88" i="2"/>
  <c r="E93" i="2"/>
  <c r="I92" i="2"/>
  <c r="D93" i="2"/>
  <c r="G90" i="2" l="1"/>
  <c r="H90" i="2" s="1"/>
  <c r="J90" i="2" s="1"/>
  <c r="K89" i="2"/>
  <c r="E94" i="2"/>
  <c r="I93" i="2"/>
  <c r="D94" i="2"/>
  <c r="G91" i="2" l="1"/>
  <c r="H91" i="2" s="1"/>
  <c r="J91" i="2" s="1"/>
  <c r="K90" i="2"/>
  <c r="E95" i="2"/>
  <c r="I94" i="2"/>
  <c r="D95" i="2"/>
  <c r="G92" i="2" l="1"/>
  <c r="H92" i="2" s="1"/>
  <c r="J92" i="2" s="1"/>
  <c r="K91" i="2"/>
  <c r="E96" i="2"/>
  <c r="I95" i="2"/>
  <c r="D96" i="2"/>
  <c r="G93" i="2" l="1"/>
  <c r="H93" i="2" s="1"/>
  <c r="J93" i="2" s="1"/>
  <c r="K92" i="2"/>
  <c r="E97" i="2"/>
  <c r="I96" i="2"/>
  <c r="D97" i="2"/>
  <c r="G94" i="2" l="1"/>
  <c r="H94" i="2" s="1"/>
  <c r="J94" i="2" s="1"/>
  <c r="K93" i="2"/>
  <c r="E98" i="2"/>
  <c r="I97" i="2"/>
  <c r="D98" i="2"/>
  <c r="G95" i="2" l="1"/>
  <c r="H95" i="2" s="1"/>
  <c r="J95" i="2" s="1"/>
  <c r="K94" i="2"/>
  <c r="E99" i="2"/>
  <c r="I98" i="2"/>
  <c r="D99" i="2"/>
  <c r="G96" i="2" l="1"/>
  <c r="H96" i="2" s="1"/>
  <c r="J96" i="2" s="1"/>
  <c r="K95" i="2"/>
  <c r="E100" i="2"/>
  <c r="I99" i="2"/>
  <c r="D100" i="2"/>
  <c r="G97" i="2" l="1"/>
  <c r="H97" i="2" s="1"/>
  <c r="J97" i="2" s="1"/>
  <c r="K96" i="2"/>
  <c r="E101" i="2"/>
  <c r="I101" i="2" s="1"/>
  <c r="I100" i="2"/>
  <c r="D101" i="2"/>
  <c r="G98" i="2" l="1"/>
  <c r="H98" i="2" s="1"/>
  <c r="J98" i="2" s="1"/>
  <c r="K97" i="2"/>
  <c r="G99" i="2" l="1"/>
  <c r="H99" i="2" s="1"/>
  <c r="J99" i="2" s="1"/>
  <c r="K98" i="2"/>
  <c r="G100" i="2" l="1"/>
  <c r="H100" i="2" s="1"/>
  <c r="J100" i="2" s="1"/>
  <c r="K99" i="2"/>
  <c r="G101" i="2" l="1"/>
  <c r="H101" i="2" s="1"/>
  <c r="J101" i="2" s="1"/>
  <c r="B9" i="3" s="1"/>
  <c r="K100" i="2"/>
  <c r="B8" i="3" l="1"/>
  <c r="D1" i="1"/>
  <c r="K101" i="2"/>
</calcChain>
</file>

<file path=xl/sharedStrings.xml><?xml version="1.0" encoding="utf-8"?>
<sst xmlns="http://schemas.openxmlformats.org/spreadsheetml/2006/main" count="42" uniqueCount="30">
  <si>
    <t>Age</t>
  </si>
  <si>
    <t>Annual Income Increase</t>
  </si>
  <si>
    <t>Plan Year</t>
  </si>
  <si>
    <t>Working Income</t>
  </si>
  <si>
    <t>Earned Interest</t>
  </si>
  <si>
    <t>End Savings Balance</t>
  </si>
  <si>
    <t>Yearly Savings</t>
  </si>
  <si>
    <t>Yearly Expenditures</t>
  </si>
  <si>
    <t>Overall Net Gain/Loss</t>
  </si>
  <si>
    <t>Income Tax</t>
  </si>
  <si>
    <t>Current Age</t>
  </si>
  <si>
    <t>Current Annual Income</t>
  </si>
  <si>
    <t>Current Annual Expenses</t>
  </si>
  <si>
    <t>Current Retirement Savings</t>
  </si>
  <si>
    <t>Economic Assumptions</t>
  </si>
  <si>
    <t>Annual Inflation</t>
  </si>
  <si>
    <t>Desired Retirement Age</t>
  </si>
  <si>
    <t>Current Information</t>
  </si>
  <si>
    <t>Risk Tolerance (Pre-Retirement)</t>
  </si>
  <si>
    <t>Risk Tolerance (Post-Retirement)</t>
  </si>
  <si>
    <t>Conservative (Est. 4% Annual Return)</t>
  </si>
  <si>
    <t>Tax Rate</t>
  </si>
  <si>
    <t>Beginning Savings Balance</t>
  </si>
  <si>
    <t>Pre-Retirement Investment Return</t>
  </si>
  <si>
    <t>Post-Retirement Investment Return</t>
  </si>
  <si>
    <t>Years Before Money Runs Out</t>
  </si>
  <si>
    <t>Age When Money Runs Out</t>
  </si>
  <si>
    <t>Aggressive (Est. 8% Annual Return)</t>
  </si>
  <si>
    <t>Moderate (Est. 6% Annual Return)</t>
  </si>
  <si>
    <t>Retirement Savings Withdrawal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</si>
</sst>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;[Red]&quot;$&quot;#,##0.00"/>
    <numFmt numFmtId="165" formatCode="#,##0;[Red]#,##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8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6" fillId="2" borderId="4" applyNumberFormat="0" applyAlignment="0" applyProtection="0"/>
    <xf numFmtId="0" fontId="7" fillId="0" borderId="5" applyNumberFormat="0" applyFill="0" applyAlignment="0" applyProtection="0"/>
  </cellStyleXfs>
  <cellXfs count="17">
    <xf numFmtId="0" fontId="0" fillId="0" borderId="0" xfId="0"/>
    <xf numFmtId="0" fontId="1" fillId="0" borderId="0" xfId="0" applyFont="1"/>
    <xf numFmtId="9" fontId="0" fillId="0" borderId="0" xfId="2" applyFont="1"/>
    <xf numFmtId="9" fontId="0" fillId="0" borderId="0" xfId="0" applyNumberFormat="1"/>
    <xf numFmtId="0" fontId="6" fillId="2" borderId="4" xfId="6"/>
    <xf numFmtId="44" fontId="6" fillId="2" borderId="4" xfId="6" applyNumberFormat="1"/>
    <xf numFmtId="9" fontId="6" fillId="2" borderId="4" xfId="6" applyNumberFormat="1"/>
    <xf numFmtId="0" fontId="7" fillId="2" borderId="5" xfId="7" applyFill="1"/>
    <xf numFmtId="0" fontId="5" fillId="0" borderId="3" xfId="5"/>
    <xf numFmtId="164" fontId="1" fillId="0" borderId="0" xfId="0" applyNumberFormat="1" applyFont="1"/>
    <xf numFmtId="164" fontId="0" fillId="0" borderId="0" xfId="0" applyNumberFormat="1"/>
    <xf numFmtId="165" fontId="0" fillId="0" borderId="0" xfId="1" applyNumberFormat="1" applyFont="1"/>
    <xf numFmtId="0" fontId="3" fillId="3" borderId="1" xfId="3" applyFill="1" applyAlignment="1">
      <alignment horizontal="center"/>
    </xf>
    <xf numFmtId="0" fontId="6" fillId="2" borderId="4" xfId="6" applyAlignment="1">
      <alignment horizontal="center"/>
    </xf>
    <xf numFmtId="0" fontId="4" fillId="0" borderId="2" xfId="4" applyAlignment="1">
      <alignment horizontal="center"/>
    </xf>
    <xf numFmtId="164" fontId="1" fillId="0" borderId="0" xfId="1" applyNumberFormat="1" applyFont="1"/>
    <xf numFmtId="164" fontId="0" fillId="0" borderId="0" xfId="1" applyNumberFormat="1" applyFont="1"/>
  </cellXfs>
  <cellStyles count="8">
    <cellStyle name="Currency" xfId="1" builtinId="4"/>
    <cellStyle name="Heading 1" xfId="3" builtinId="16"/>
    <cellStyle name="Heading 2" xfId="4" builtinId="17"/>
    <cellStyle name="Heading 3" xfId="5" builtinId="18"/>
    <cellStyle name="Input" xfId="6" builtinId="20"/>
    <cellStyle name="Linked Cell" xfId="7" builtinId="24"/>
    <cellStyle name="Normal" xfId="0" builtinId="0"/>
    <cellStyle name="Percent" xfId="2" builtinId="5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N"/>
              <a:t>Projected Retirement Savings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[0]!dynamic_access_labels</c:f>
              <c:numCache>
                <c:formatCode>General</c:formatCode>
                <c:ptCount val="50"/>
                <c:pt idx="0">
                  <c:v>35</c:v>
                </c:pt>
                <c:pt idx="1">
                  <c:v>36</c:v>
                </c:pt>
                <c:pt idx="2">
                  <c:v>37</c:v>
                </c:pt>
                <c:pt idx="3">
                  <c:v>38</c:v>
                </c:pt>
                <c:pt idx="4">
                  <c:v>39</c:v>
                </c:pt>
                <c:pt idx="5">
                  <c:v>40</c:v>
                </c:pt>
                <c:pt idx="6">
                  <c:v>41</c:v>
                </c:pt>
                <c:pt idx="7">
                  <c:v>42</c:v>
                </c:pt>
                <c:pt idx="8">
                  <c:v>43</c:v>
                </c:pt>
                <c:pt idx="9">
                  <c:v>44</c:v>
                </c:pt>
                <c:pt idx="10">
                  <c:v>45</c:v>
                </c:pt>
                <c:pt idx="11">
                  <c:v>46</c:v>
                </c:pt>
                <c:pt idx="12">
                  <c:v>47</c:v>
                </c:pt>
                <c:pt idx="13">
                  <c:v>48</c:v>
                </c:pt>
                <c:pt idx="14">
                  <c:v>49</c:v>
                </c:pt>
                <c:pt idx="15">
                  <c:v>50</c:v>
                </c:pt>
                <c:pt idx="16">
                  <c:v>51</c:v>
                </c:pt>
                <c:pt idx="17">
                  <c:v>52</c:v>
                </c:pt>
                <c:pt idx="18">
                  <c:v>53</c:v>
                </c:pt>
                <c:pt idx="19">
                  <c:v>54</c:v>
                </c:pt>
                <c:pt idx="20">
                  <c:v>55</c:v>
                </c:pt>
                <c:pt idx="21">
                  <c:v>56</c:v>
                </c:pt>
                <c:pt idx="22">
                  <c:v>57</c:v>
                </c:pt>
                <c:pt idx="23">
                  <c:v>58</c:v>
                </c:pt>
                <c:pt idx="24">
                  <c:v>59</c:v>
                </c:pt>
                <c:pt idx="25">
                  <c:v>60</c:v>
                </c:pt>
                <c:pt idx="26">
                  <c:v>61</c:v>
                </c:pt>
                <c:pt idx="27">
                  <c:v>62</c:v>
                </c:pt>
                <c:pt idx="28">
                  <c:v>63</c:v>
                </c:pt>
                <c:pt idx="29">
                  <c:v>64</c:v>
                </c:pt>
                <c:pt idx="30">
                  <c:v>65</c:v>
                </c:pt>
                <c:pt idx="31">
                  <c:v>66</c:v>
                </c:pt>
                <c:pt idx="32">
                  <c:v>67</c:v>
                </c:pt>
                <c:pt idx="33">
                  <c:v>68</c:v>
                </c:pt>
                <c:pt idx="34">
                  <c:v>69</c:v>
                </c:pt>
                <c:pt idx="35">
                  <c:v>70</c:v>
                </c:pt>
                <c:pt idx="36">
                  <c:v>71</c:v>
                </c:pt>
                <c:pt idx="37">
                  <c:v>72</c:v>
                </c:pt>
                <c:pt idx="38">
                  <c:v>73</c:v>
                </c:pt>
                <c:pt idx="39">
                  <c:v>74</c:v>
                </c:pt>
                <c:pt idx="40">
                  <c:v>75</c:v>
                </c:pt>
                <c:pt idx="41">
                  <c:v>76</c:v>
                </c:pt>
                <c:pt idx="42">
                  <c:v>77</c:v>
                </c:pt>
                <c:pt idx="43">
                  <c:v>78</c:v>
                </c:pt>
                <c:pt idx="44">
                  <c:v>79</c:v>
                </c:pt>
                <c:pt idx="45">
                  <c:v>80</c:v>
                </c:pt>
                <c:pt idx="46">
                  <c:v>81</c:v>
                </c:pt>
                <c:pt idx="47">
                  <c:v>82</c:v>
                </c:pt>
                <c:pt idx="48">
                  <c:v>83</c:v>
                </c:pt>
                <c:pt idx="49">
                  <c:v>84</c:v>
                </c:pt>
              </c:numCache>
            </c:numRef>
          </c:cat>
          <c:val>
            <c:numRef>
              <c:f>[0]!dynamic_series</c:f>
              <c:numCache>
                <c:formatCode>"$"#,##0.00;[Red]"$"#,##0.00</c:formatCode>
                <c:ptCount val="50"/>
                <c:pt idx="0">
                  <c:v>42000</c:v>
                </c:pt>
                <c:pt idx="1">
                  <c:v>55794</c:v>
                </c:pt>
                <c:pt idx="2">
                  <c:v>71572.38</c:v>
                </c:pt>
                <c:pt idx="3">
                  <c:v>89543.029799999989</c:v>
                </c:pt>
                <c:pt idx="4">
                  <c:v>109932.85310999997</c:v>
                </c:pt>
                <c:pt idx="5">
                  <c:v>132989.39648633995</c:v>
                </c:pt>
                <c:pt idx="6">
                  <c:v>158982.61327132373</c:v>
                </c:pt>
                <c:pt idx="7">
                  <c:v>188206.77353518733</c:v>
                </c:pt>
                <c:pt idx="8">
                  <c:v>220982.53190768749</c:v>
                </c:pt>
                <c:pt idx="9">
                  <c:v>257659.16614619951</c:v>
                </c:pt>
                <c:pt idx="10">
                  <c:v>298617.00032395154</c:v>
                </c:pt>
                <c:pt idx="11">
                  <c:v>344270.02764207084</c:v>
                </c:pt>
                <c:pt idx="12">
                  <c:v>395068.74907915376</c:v>
                </c:pt>
                <c:pt idx="13">
                  <c:v>451503.24539931287</c:v>
                </c:pt>
                <c:pt idx="14">
                  <c:v>514106.50145189097</c:v>
                </c:pt>
                <c:pt idx="15">
                  <c:v>583458.00322168542</c:v>
                </c:pt>
                <c:pt idx="16">
                  <c:v>660187.62973667949</c:v>
                </c:pt>
                <c:pt idx="17">
                  <c:v>744979.86372075789</c:v>
                </c:pt>
                <c:pt idx="18">
                  <c:v>838578.34680229065</c:v>
                </c:pt>
                <c:pt idx="19">
                  <c:v>941790.80716725881</c:v>
                </c:pt>
                <c:pt idx="20">
                  <c:v>1055494.3897901406</c:v>
                </c:pt>
                <c:pt idx="21">
                  <c:v>1180641.4218004341</c:v>
                </c:pt>
                <c:pt idx="22">
                  <c:v>1318265.6481619037</c:v>
                </c:pt>
                <c:pt idx="23">
                  <c:v>1469488.9756709756</c:v>
                </c:pt>
                <c:pt idx="24">
                  <c:v>1635528.766337025</c:v>
                </c:pt>
                <c:pt idx="25">
                  <c:v>1639440.4854828068</c:v>
                </c:pt>
                <c:pt idx="26">
                  <c:v>1640760.3075723022</c:v>
                </c:pt>
                <c:pt idx="27">
                  <c:v>1639247.920775983</c:v>
                </c:pt>
                <c:pt idx="28">
                  <c:v>1634646.0506143651</c:v>
                </c:pt>
                <c:pt idx="29">
                  <c:v>1626679.3658808048</c:v>
                </c:pt>
                <c:pt idx="30">
                  <c:v>1615053.3166301185</c:v>
                </c:pt>
                <c:pt idx="31">
                  <c:v>1599452.9000882849</c:v>
                </c:pt>
                <c:pt idx="32">
                  <c:v>1579541.3500877519</c:v>
                </c:pt>
                <c:pt idx="33">
                  <c:v>1554958.745367012</c:v>
                </c:pt>
                <c:pt idx="34">
                  <c:v>1525320.5317912474</c:v>
                </c:pt>
                <c:pt idx="35">
                  <c:v>1490215.9532520035</c:v>
                </c:pt>
                <c:pt idx="36">
                  <c:v>1449206.3856870034</c:v>
                </c:pt>
                <c:pt idx="37">
                  <c:v>1401823.5683252995</c:v>
                </c:pt>
                <c:pt idx="38">
                  <c:v>1347567.7259068058</c:v>
                </c:pt>
                <c:pt idx="39">
                  <c:v>1285905.5752476621</c:v>
                </c:pt>
                <c:pt idx="40">
                  <c:v>1216268.2091225635</c:v>
                </c:pt>
                <c:pt idx="41">
                  <c:v>1138048.8500107601</c:v>
                </c:pt>
                <c:pt idx="42">
                  <c:v>1050600.4658024737</c:v>
                </c:pt>
                <c:pt idx="43">
                  <c:v>953233.23908542213</c:v>
                </c:pt>
                <c:pt idx="44">
                  <c:v>845211.88112539146</c:v>
                </c:pt>
                <c:pt idx="45">
                  <c:v>725752.78111860435</c:v>
                </c:pt>
                <c:pt idx="46">
                  <c:v>594020.98072518059</c:v>
                </c:pt>
                <c:pt idx="47">
                  <c:v>449126.96329033526</c:v>
                </c:pt>
                <c:pt idx="48">
                  <c:v>290123.24652104848</c:v>
                </c:pt>
                <c:pt idx="49">
                  <c:v>116000.7667086033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DDC-BD2E-8B6EC5BCB78F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4032080"/>
        <c:axId val="644037840"/>
      </c:lineChart>
      <c:catAx>
        <c:axId val="644032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037840"/>
        <c:crosses val="autoZero"/>
        <c:auto val="0"/>
        <c:lblAlgn val="ctr"/>
        <c:lblOffset val="100"/>
        <c:tickLblSkip val="5"/>
        <c:tickMarkSkip val="5"/>
        <c:noMultiLvlLbl val="0"/>
      </c:catAx>
      <c:valAx>
        <c:axId val="64403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Retirement Savings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;[Red]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0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croll" dx="26" fmlaLink="$B$2" horiz="1" max="80" min="30" page="10" val="6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1</xdr:row>
          <xdr:rowOff>0</xdr:rowOff>
        </xdr:from>
        <xdr:to>
          <xdr:col>0</xdr:col>
          <xdr:colOff>2186940</xdr:colOff>
          <xdr:row>2</xdr:row>
          <xdr:rowOff>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601980</xdr:colOff>
      <xdr:row>2</xdr:row>
      <xdr:rowOff>0</xdr:rowOff>
    </xdr:from>
    <xdr:to>
      <xdr:col>15</xdr:col>
      <xdr:colOff>0</xdr:colOff>
      <xdr:row>19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A37939-2600-8E28-EB95-7DC96E7110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"/>
  <sheetViews>
    <sheetView showGridLines="0" workbookViewId="0">
      <selection activeCell="A19" sqref="A19:B19"/>
    </sheetView>
  </sheetViews>
  <sheetFormatPr defaultRowHeight="14.4" x14ac:dyDescent="0.3"/>
  <cols>
    <col min="1" max="1" width="32" customWidth="1"/>
    <col min="2" max="2" width="16" customWidth="1"/>
    <col min="18" max="18" width="10.21875" customWidth="1"/>
  </cols>
  <sheetData>
    <row r="1" spans="1:15" ht="20.399999999999999" thickBot="1" x14ac:dyDescent="0.45">
      <c r="A1" s="14" t="s">
        <v>16</v>
      </c>
      <c r="B1" s="14"/>
      <c r="D1" s="12" t="str">
        <f>IF(Support!B9&lt;135,CONCATENATE("You will run out of money at ",Support!$B$9," years old."),"Enjoy your LOOOOOOOOONG retirement!")</f>
        <v>You will run out of money at 85 years old.</v>
      </c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1:15" ht="15.6" thickTop="1" thickBot="1" x14ac:dyDescent="0.35">
      <c r="B2" s="7">
        <v>60</v>
      </c>
    </row>
    <row r="3" spans="1:15" ht="15" thickTop="1" x14ac:dyDescent="0.3"/>
    <row r="4" spans="1:15" ht="17.55" customHeight="1" thickBot="1" x14ac:dyDescent="0.4">
      <c r="A4" s="14" t="s">
        <v>17</v>
      </c>
      <c r="B4" s="14"/>
    </row>
    <row r="5" spans="1:15" ht="15.6" thickTop="1" thickBot="1" x14ac:dyDescent="0.35">
      <c r="A5" s="8" t="s">
        <v>10</v>
      </c>
      <c r="B5" s="4">
        <v>35</v>
      </c>
    </row>
    <row r="6" spans="1:15" ht="15" thickBot="1" x14ac:dyDescent="0.35">
      <c r="A6" s="8" t="s">
        <v>11</v>
      </c>
      <c r="B6" s="5">
        <v>70000</v>
      </c>
    </row>
    <row r="7" spans="1:15" ht="15" thickBot="1" x14ac:dyDescent="0.35">
      <c r="A7" s="8" t="s">
        <v>12</v>
      </c>
      <c r="B7" s="5">
        <v>45000</v>
      </c>
    </row>
    <row r="8" spans="1:15" ht="15" thickBot="1" x14ac:dyDescent="0.35">
      <c r="A8" s="8" t="s">
        <v>13</v>
      </c>
      <c r="B8" s="5">
        <v>30000</v>
      </c>
    </row>
    <row r="9" spans="1:15" ht="14.55" customHeight="1" x14ac:dyDescent="0.3"/>
    <row r="10" spans="1:15" ht="18" thickBot="1" x14ac:dyDescent="0.4">
      <c r="A10" s="14" t="s">
        <v>14</v>
      </c>
      <c r="B10" s="14"/>
    </row>
    <row r="11" spans="1:15" ht="15.6" thickTop="1" thickBot="1" x14ac:dyDescent="0.35">
      <c r="A11" s="8" t="s">
        <v>15</v>
      </c>
      <c r="B11" s="6">
        <v>0.03</v>
      </c>
    </row>
    <row r="12" spans="1:15" ht="15" thickBot="1" x14ac:dyDescent="0.35">
      <c r="A12" s="8" t="s">
        <v>1</v>
      </c>
      <c r="B12" s="6">
        <v>0.04</v>
      </c>
    </row>
    <row r="13" spans="1:15" ht="15" thickBot="1" x14ac:dyDescent="0.35">
      <c r="A13" s="8" t="s">
        <v>21</v>
      </c>
      <c r="B13" s="6">
        <v>0.22</v>
      </c>
    </row>
    <row r="14" spans="1:15" ht="14.55" customHeight="1" x14ac:dyDescent="0.3"/>
    <row r="15" spans="1:15" ht="18" thickBot="1" x14ac:dyDescent="0.4">
      <c r="A15" s="14" t="s">
        <v>18</v>
      </c>
      <c r="B15" s="14"/>
    </row>
    <row r="16" spans="1:15" ht="15" thickTop="1" x14ac:dyDescent="0.3">
      <c r="A16" s="13" t="s">
        <v>27</v>
      </c>
      <c r="B16" s="13"/>
    </row>
    <row r="17" spans="1:10" ht="14.55" customHeight="1" x14ac:dyDescent="0.3"/>
    <row r="18" spans="1:10" ht="18" thickBot="1" x14ac:dyDescent="0.4">
      <c r="A18" s="14" t="s">
        <v>19</v>
      </c>
      <c r="B18" s="14"/>
      <c r="J18" s="2"/>
    </row>
    <row r="19" spans="1:10" ht="15" thickTop="1" x14ac:dyDescent="0.3">
      <c r="A19" s="13" t="s">
        <v>28</v>
      </c>
      <c r="B19" s="13"/>
    </row>
    <row r="20" spans="1:10" ht="14.55" customHeight="1" x14ac:dyDescent="0.3"/>
  </sheetData>
  <mergeCells count="8">
    <mergeCell ref="D1:O1"/>
    <mergeCell ref="A16:B16"/>
    <mergeCell ref="A19:B19"/>
    <mergeCell ref="A4:B4"/>
    <mergeCell ref="A1:B1"/>
    <mergeCell ref="A10:B10"/>
    <mergeCell ref="A15:B15"/>
    <mergeCell ref="A18:B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Scroll Bar 5">
              <controlPr defaultSize="0" autoPict="0">
                <anchor moveWithCells="1">
                  <from>
                    <xdr:col>0</xdr:col>
                    <xdr:colOff>7620</xdr:colOff>
                    <xdr:row>1</xdr:row>
                    <xdr:rowOff>0</xdr:rowOff>
                  </from>
                  <to>
                    <xdr:col>0</xdr:col>
                    <xdr:colOff>2186940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3D9AFC4-73C2-42ED-AB5A-EB85120FBBC1}">
            <xm:f>Support!$B$9&lt;85</xm:f>
            <x14:dxf>
              <font>
                <b/>
                <i val="0"/>
                <color rgb="FFFF0000"/>
              </font>
            </x14:dxf>
          </x14:cfRule>
          <xm:sqref>D1:O1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E8562F11-16BA-49B7-9F23-10DB679577FD}">
          <x14:formula1>
            <xm:f>Support!$A$1:$A$3</xm:f>
          </x14:formula1>
          <xm:sqref>A16:B16 A19:B19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B2C87-7B54-4736-9BF4-835E37739793}">
  <sheetPr codeName="Sheet4"/>
  <dimension ref="A1:J58"/>
  <sheetViews>
    <sheetView tabSelected="1" workbookViewId="0">
      <pane ySplit="1" topLeftCell="A11" activePane="bottomLeft" state="frozen"/>
      <selection pane="bottomLeft" activeCell="G13" sqref="G13"/>
    </sheetView>
  </sheetViews>
  <sheetFormatPr defaultRowHeight="14.4" x14ac:dyDescent="0.3"/>
  <cols>
    <col min="1" max="1" width="5.88671875" customWidth="1"/>
    <col min="2" max="2" width="16.109375" style="16" customWidth="1"/>
    <col min="3" max="3" width="13.77734375" style="16" customWidth="1"/>
    <col min="4" max="4" width="18.44140625" style="16" customWidth="1"/>
    <col min="5" max="5" width="15.33203125" style="16" customWidth="1"/>
    <col min="6" max="6" width="24.109375" style="16" customWidth="1"/>
    <col min="7" max="7" width="15.21875" style="16" customWidth="1"/>
    <col min="8" max="8" width="27.33203125" style="16" customWidth="1"/>
    <col min="9" max="9" width="19.21875" style="16" customWidth="1"/>
    <col min="10" max="10" width="21.109375" style="16" customWidth="1"/>
  </cols>
  <sheetData>
    <row r="1" spans="1:10" x14ac:dyDescent="0.3">
      <c r="A1" s="1" t="s">
        <v>0</v>
      </c>
      <c r="B1" s="15" t="s">
        <v>3</v>
      </c>
      <c r="C1" s="15" t="s">
        <v>9</v>
      </c>
      <c r="D1" s="15" t="s">
        <v>7</v>
      </c>
      <c r="E1" s="15" t="s">
        <v>6</v>
      </c>
      <c r="F1" s="15" t="s">
        <v>22</v>
      </c>
      <c r="G1" s="15" t="s">
        <v>4</v>
      </c>
      <c r="H1" s="15" t="s">
        <v>29</v>
      </c>
      <c r="I1" s="15" t="s">
        <v>5</v>
      </c>
      <c r="J1" s="15" t="s">
        <v>8</v>
      </c>
    </row>
    <row r="2" spans="1:10" x14ac:dyDescent="0.3">
      <c r="A2">
        <f>IF(Calculations!$J2&gt;=0,Calculations!B2," ")</f>
        <v>35</v>
      </c>
      <c r="B2" s="16">
        <f>IF(Calculations!$J2&gt;=0,Calculations!C2," ")</f>
        <v>70000</v>
      </c>
      <c r="C2" s="16">
        <f>IF(Calculations!$J2&gt;=0,Calculations!D2," ")</f>
        <v>15400</v>
      </c>
      <c r="D2" s="16">
        <f>IF(Calculations!$J2&gt;=0,Calculations!E2," ")</f>
        <v>45000</v>
      </c>
      <c r="E2" s="16">
        <f>IF(Calculations!$J2&gt;=0,Calculations!F2," ")</f>
        <v>9600</v>
      </c>
      <c r="F2" s="16">
        <f>IF(Calculations!$J2&gt;=0,Calculations!G2," ")</f>
        <v>30000</v>
      </c>
      <c r="G2" s="16">
        <f>IF(Calculations!$J2&gt;=0,Calculations!H2," ")</f>
        <v>2400</v>
      </c>
      <c r="H2" s="16">
        <f>IF(Calculations!$J2&gt;=0,Calculations!I2," ")</f>
        <v>0</v>
      </c>
      <c r="I2" s="16">
        <f>IF(Calculations!$J2&gt;=0,Calculations!J2," ")</f>
        <v>42000</v>
      </c>
      <c r="J2" s="16">
        <f>IF(Calculations!$J2&gt;=0,Calculations!K2," ")</f>
        <v>12000</v>
      </c>
    </row>
    <row r="3" spans="1:10" x14ac:dyDescent="0.3">
      <c r="A3">
        <f>IF(Calculations!$J3&gt;=0,Calculations!B3," ")</f>
        <v>36</v>
      </c>
      <c r="B3" s="16">
        <f>IF(Calculations!$J3&gt;=0,Calculations!C3," ")</f>
        <v>72800</v>
      </c>
      <c r="C3" s="16">
        <f>IF(Calculations!$J3&gt;=0,Calculations!D3," ")</f>
        <v>16016</v>
      </c>
      <c r="D3" s="16">
        <f>IF(Calculations!$J3&gt;=0,Calculations!E3," ")</f>
        <v>46350</v>
      </c>
      <c r="E3" s="16">
        <f>IF(Calculations!$J3&gt;=0,Calculations!F3," ")</f>
        <v>10434</v>
      </c>
      <c r="F3" s="16">
        <f>IF(Calculations!$J3&gt;=0,Calculations!G3," ")</f>
        <v>42000</v>
      </c>
      <c r="G3" s="16">
        <f>IF(Calculations!$J3&gt;=0,Calculations!H3," ")</f>
        <v>3360</v>
      </c>
      <c r="H3" s="16">
        <f>IF(Calculations!$J3&gt;=0,Calculations!I3," ")</f>
        <v>0</v>
      </c>
      <c r="I3" s="16">
        <f>IF(Calculations!$J3&gt;=0,Calculations!J3," ")</f>
        <v>55794</v>
      </c>
      <c r="J3" s="16">
        <f>IF(Calculations!$J3&gt;=0,Calculations!K3," ")</f>
        <v>13794</v>
      </c>
    </row>
    <row r="4" spans="1:10" x14ac:dyDescent="0.3">
      <c r="A4">
        <f>IF(Calculations!$J4&gt;=0,Calculations!B4," ")</f>
        <v>37</v>
      </c>
      <c r="B4" s="16">
        <f>IF(Calculations!$J4&gt;=0,Calculations!C4," ")</f>
        <v>75712</v>
      </c>
      <c r="C4" s="16">
        <f>IF(Calculations!$J4&gt;=0,Calculations!D4," ")</f>
        <v>16656.64</v>
      </c>
      <c r="D4" s="16">
        <f>IF(Calculations!$J4&gt;=0,Calculations!E4," ")</f>
        <v>47740.5</v>
      </c>
      <c r="E4" s="16">
        <f>IF(Calculations!$J4&gt;=0,Calculations!F4," ")</f>
        <v>11314.86</v>
      </c>
      <c r="F4" s="16">
        <f>IF(Calculations!$J4&gt;=0,Calculations!G4," ")</f>
        <v>55794</v>
      </c>
      <c r="G4" s="16">
        <f>IF(Calculations!$J4&gt;=0,Calculations!H4," ")</f>
        <v>4463.5200000000004</v>
      </c>
      <c r="H4" s="16">
        <f>IF(Calculations!$J4&gt;=0,Calculations!I4," ")</f>
        <v>0</v>
      </c>
      <c r="I4" s="16">
        <f>IF(Calculations!$J4&gt;=0,Calculations!J4," ")</f>
        <v>71572.38</v>
      </c>
      <c r="J4" s="16">
        <f>IF(Calculations!$J4&gt;=0,Calculations!K4," ")</f>
        <v>15778.380000000005</v>
      </c>
    </row>
    <row r="5" spans="1:10" x14ac:dyDescent="0.3">
      <c r="A5">
        <f>IF(Calculations!$J5&gt;=0,Calculations!B5," ")</f>
        <v>38</v>
      </c>
      <c r="B5" s="16">
        <f>IF(Calculations!$J5&gt;=0,Calculations!C5," ")</f>
        <v>78740.479999999996</v>
      </c>
      <c r="C5" s="16">
        <f>IF(Calculations!$J5&gt;=0,Calculations!D5," ")</f>
        <v>17322.905599999998</v>
      </c>
      <c r="D5" s="16">
        <f>IF(Calculations!$J5&gt;=0,Calculations!E5," ")</f>
        <v>49172.715000000004</v>
      </c>
      <c r="E5" s="16">
        <f>IF(Calculations!$J5&gt;=0,Calculations!F5," ")</f>
        <v>12244.859399999994</v>
      </c>
      <c r="F5" s="16">
        <f>IF(Calculations!$J5&gt;=0,Calculations!G5," ")</f>
        <v>71572.38</v>
      </c>
      <c r="G5" s="16">
        <f>IF(Calculations!$J5&gt;=0,Calculations!H5," ")</f>
        <v>5725.7904000000008</v>
      </c>
      <c r="H5" s="16">
        <f>IF(Calculations!$J5&gt;=0,Calculations!I5," ")</f>
        <v>0</v>
      </c>
      <c r="I5" s="16">
        <f>IF(Calculations!$J5&gt;=0,Calculations!J5," ")</f>
        <v>89543.029799999989</v>
      </c>
      <c r="J5" s="16">
        <f>IF(Calculations!$J5&gt;=0,Calculations!K5," ")</f>
        <v>17970.649799999985</v>
      </c>
    </row>
    <row r="6" spans="1:10" x14ac:dyDescent="0.3">
      <c r="A6">
        <f>IF(Calculations!$J6&gt;=0,Calculations!B6," ")</f>
        <v>39</v>
      </c>
      <c r="B6" s="16">
        <f>IF(Calculations!$J6&gt;=0,Calculations!C6," ")</f>
        <v>81890.099199999997</v>
      </c>
      <c r="C6" s="16">
        <f>IF(Calculations!$J6&gt;=0,Calculations!D6," ")</f>
        <v>18015.821823999999</v>
      </c>
      <c r="D6" s="16">
        <f>IF(Calculations!$J6&gt;=0,Calculations!E6," ")</f>
        <v>50647.896450000007</v>
      </c>
      <c r="E6" s="16">
        <f>IF(Calculations!$J6&gt;=0,Calculations!F6," ")</f>
        <v>13226.380925999991</v>
      </c>
      <c r="F6" s="16">
        <f>IF(Calculations!$J6&gt;=0,Calculations!G6," ")</f>
        <v>89543.029799999989</v>
      </c>
      <c r="G6" s="16">
        <f>IF(Calculations!$J6&gt;=0,Calculations!H6," ")</f>
        <v>7163.442383999999</v>
      </c>
      <c r="H6" s="16">
        <f>IF(Calculations!$J6&gt;=0,Calculations!I6," ")</f>
        <v>0</v>
      </c>
      <c r="I6" s="16">
        <f>IF(Calculations!$J6&gt;=0,Calculations!J6," ")</f>
        <v>109932.85310999997</v>
      </c>
      <c r="J6" s="16">
        <f>IF(Calculations!$J6&gt;=0,Calculations!K6," ")</f>
        <v>20389.823309999978</v>
      </c>
    </row>
    <row r="7" spans="1:10" x14ac:dyDescent="0.3">
      <c r="A7">
        <f>IF(Calculations!$J7&gt;=0,Calculations!B7," ")</f>
        <v>40</v>
      </c>
      <c r="B7" s="16">
        <f>IF(Calculations!$J7&gt;=0,Calculations!C7," ")</f>
        <v>85165.703167999993</v>
      </c>
      <c r="C7" s="16">
        <f>IF(Calculations!$J7&gt;=0,Calculations!D7," ")</f>
        <v>18736.454696959998</v>
      </c>
      <c r="D7" s="16">
        <f>IF(Calculations!$J7&gt;=0,Calculations!E7," ")</f>
        <v>52167.33334350001</v>
      </c>
      <c r="E7" s="16">
        <f>IF(Calculations!$J7&gt;=0,Calculations!F7," ")</f>
        <v>14261.915127539978</v>
      </c>
      <c r="F7" s="16">
        <f>IF(Calculations!$J7&gt;=0,Calculations!G7," ")</f>
        <v>109932.85310999997</v>
      </c>
      <c r="G7" s="16">
        <f>IF(Calculations!$J7&gt;=0,Calculations!H7," ")</f>
        <v>8794.6282487999979</v>
      </c>
      <c r="H7" s="16">
        <f>IF(Calculations!$J7&gt;=0,Calculations!I7," ")</f>
        <v>0</v>
      </c>
      <c r="I7" s="16">
        <f>IF(Calculations!$J7&gt;=0,Calculations!J7," ")</f>
        <v>132989.39648633995</v>
      </c>
      <c r="J7" s="16">
        <f>IF(Calculations!$J7&gt;=0,Calculations!K7," ")</f>
        <v>23056.543376339978</v>
      </c>
    </row>
    <row r="8" spans="1:10" x14ac:dyDescent="0.3">
      <c r="A8">
        <f>IF(Calculations!$J8&gt;=0,Calculations!B8," ")</f>
        <v>41</v>
      </c>
      <c r="B8" s="16">
        <f>IF(Calculations!$J8&gt;=0,Calculations!C8," ")</f>
        <v>88572.331294719988</v>
      </c>
      <c r="C8" s="16">
        <f>IF(Calculations!$J8&gt;=0,Calculations!D8," ")</f>
        <v>19485.912884838399</v>
      </c>
      <c r="D8" s="16">
        <f>IF(Calculations!$J8&gt;=0,Calculations!E8," ")</f>
        <v>53732.353343805014</v>
      </c>
      <c r="E8" s="16">
        <f>IF(Calculations!$J8&gt;=0,Calculations!F8," ")</f>
        <v>15354.065066076575</v>
      </c>
      <c r="F8" s="16">
        <f>IF(Calculations!$J8&gt;=0,Calculations!G8," ")</f>
        <v>132989.39648633995</v>
      </c>
      <c r="G8" s="16">
        <f>IF(Calculations!$J8&gt;=0,Calculations!H8," ")</f>
        <v>10639.151718907196</v>
      </c>
      <c r="H8" s="16">
        <f>IF(Calculations!$J8&gt;=0,Calculations!I8," ")</f>
        <v>0</v>
      </c>
      <c r="I8" s="16">
        <f>IF(Calculations!$J8&gt;=0,Calculations!J8," ")</f>
        <v>158982.61327132373</v>
      </c>
      <c r="J8" s="16">
        <f>IF(Calculations!$J8&gt;=0,Calculations!K8," ")</f>
        <v>25993.216784983786</v>
      </c>
    </row>
    <row r="9" spans="1:10" x14ac:dyDescent="0.3">
      <c r="A9">
        <f>IF(Calculations!$J9&gt;=0,Calculations!B9," ")</f>
        <v>42</v>
      </c>
      <c r="B9" s="16">
        <f>IF(Calculations!$J9&gt;=0,Calculations!C9," ")</f>
        <v>92115.224546508791</v>
      </c>
      <c r="C9" s="16">
        <f>IF(Calculations!$J9&gt;=0,Calculations!D9," ")</f>
        <v>20265.349400231935</v>
      </c>
      <c r="D9" s="16">
        <f>IF(Calculations!$J9&gt;=0,Calculations!E9," ")</f>
        <v>55344.323944119169</v>
      </c>
      <c r="E9" s="16">
        <f>IF(Calculations!$J9&gt;=0,Calculations!F9," ")</f>
        <v>16505.551202157687</v>
      </c>
      <c r="F9" s="16">
        <f>IF(Calculations!$J9&gt;=0,Calculations!G9," ")</f>
        <v>158982.61327132373</v>
      </c>
      <c r="G9" s="16">
        <f>IF(Calculations!$J9&gt;=0,Calculations!H9," ")</f>
        <v>12718.609061705898</v>
      </c>
      <c r="H9" s="16">
        <f>IF(Calculations!$J9&gt;=0,Calculations!I9," ")</f>
        <v>0</v>
      </c>
      <c r="I9" s="16">
        <f>IF(Calculations!$J9&gt;=0,Calculations!J9," ")</f>
        <v>188206.77353518733</v>
      </c>
      <c r="J9" s="16">
        <f>IF(Calculations!$J9&gt;=0,Calculations!K9," ")</f>
        <v>29224.160263863596</v>
      </c>
    </row>
    <row r="10" spans="1:10" x14ac:dyDescent="0.3">
      <c r="A10">
        <f>IF(Calculations!$J10&gt;=0,Calculations!B10," ")</f>
        <v>43</v>
      </c>
      <c r="B10" s="16">
        <f>IF(Calculations!$J10&gt;=0,Calculations!C10," ")</f>
        <v>95799.833528369141</v>
      </c>
      <c r="C10" s="16">
        <f>IF(Calculations!$J10&gt;=0,Calculations!D10," ")</f>
        <v>21075.963376241212</v>
      </c>
      <c r="D10" s="16">
        <f>IF(Calculations!$J10&gt;=0,Calculations!E10," ")</f>
        <v>57004.653662442746</v>
      </c>
      <c r="E10" s="16">
        <f>IF(Calculations!$J10&gt;=0,Calculations!F10," ")</f>
        <v>17719.216489685183</v>
      </c>
      <c r="F10" s="16">
        <f>IF(Calculations!$J10&gt;=0,Calculations!G10," ")</f>
        <v>188206.77353518733</v>
      </c>
      <c r="G10" s="16">
        <f>IF(Calculations!$J10&gt;=0,Calculations!H10," ")</f>
        <v>15056.541882814987</v>
      </c>
      <c r="H10" s="16">
        <f>IF(Calculations!$J10&gt;=0,Calculations!I10," ")</f>
        <v>0</v>
      </c>
      <c r="I10" s="16">
        <f>IF(Calculations!$J10&gt;=0,Calculations!J10," ")</f>
        <v>220982.53190768749</v>
      </c>
      <c r="J10" s="16">
        <f>IF(Calculations!$J10&gt;=0,Calculations!K10," ")</f>
        <v>32775.75837250016</v>
      </c>
    </row>
    <row r="11" spans="1:10" x14ac:dyDescent="0.3">
      <c r="A11">
        <f>IF(Calculations!$J11&gt;=0,Calculations!B11," ")</f>
        <v>44</v>
      </c>
      <c r="B11" s="16">
        <f>IF(Calculations!$J11&gt;=0,Calculations!C11," ")</f>
        <v>99631.826869503915</v>
      </c>
      <c r="C11" s="16">
        <f>IF(Calculations!$J11&gt;=0,Calculations!D11," ")</f>
        <v>21919.001911290863</v>
      </c>
      <c r="D11" s="16">
        <f>IF(Calculations!$J11&gt;=0,Calculations!E11," ")</f>
        <v>58714.793272316027</v>
      </c>
      <c r="E11" s="16">
        <f>IF(Calculations!$J11&gt;=0,Calculations!F11," ")</f>
        <v>18998.031685897025</v>
      </c>
      <c r="F11" s="16">
        <f>IF(Calculations!$J11&gt;=0,Calculations!G11," ")</f>
        <v>220982.53190768749</v>
      </c>
      <c r="G11" s="16">
        <f>IF(Calculations!$J11&gt;=0,Calculations!H11," ")</f>
        <v>17678.602552615001</v>
      </c>
      <c r="H11" s="16">
        <f>IF(Calculations!$J11&gt;=0,Calculations!I11," ")</f>
        <v>0</v>
      </c>
      <c r="I11" s="16">
        <f>IF(Calculations!$J11&gt;=0,Calculations!J11," ")</f>
        <v>257659.16614619951</v>
      </c>
      <c r="J11" s="16">
        <f>IF(Calculations!$J11&gt;=0,Calculations!K11," ")</f>
        <v>36676.634238512022</v>
      </c>
    </row>
    <row r="12" spans="1:10" x14ac:dyDescent="0.3">
      <c r="A12">
        <f>IF(Calculations!$J12&gt;=0,Calculations!B12," ")</f>
        <v>45</v>
      </c>
      <c r="B12" s="16">
        <f>IF(Calculations!$J12&gt;=0,Calculations!C12," ")</f>
        <v>103617.09994428407</v>
      </c>
      <c r="C12" s="16">
        <f>IF(Calculations!$J12&gt;=0,Calculations!D12," ")</f>
        <v>22795.761987742495</v>
      </c>
      <c r="D12" s="16">
        <f>IF(Calculations!$J12&gt;=0,Calculations!E12," ")</f>
        <v>60476.237070485506</v>
      </c>
      <c r="E12" s="16">
        <f>IF(Calculations!$J12&gt;=0,Calculations!F12," ")</f>
        <v>20345.100886056061</v>
      </c>
      <c r="F12" s="16">
        <f>IF(Calculations!$J12&gt;=0,Calculations!G12," ")</f>
        <v>257659.16614619951</v>
      </c>
      <c r="G12" s="16">
        <f>IF(Calculations!$J12&gt;=0,Calculations!H12," ")</f>
        <v>20612.73329169596</v>
      </c>
      <c r="H12" s="16">
        <f>IF(Calculations!$J12&gt;=0,Calculations!I12," ")</f>
        <v>0</v>
      </c>
      <c r="I12" s="16">
        <f>IF(Calculations!$J12&gt;=0,Calculations!J12," ")</f>
        <v>298617.00032395154</v>
      </c>
      <c r="J12" s="16">
        <f>IF(Calculations!$J12&gt;=0,Calculations!K12," ")</f>
        <v>40957.834177752025</v>
      </c>
    </row>
    <row r="13" spans="1:10" x14ac:dyDescent="0.3">
      <c r="A13">
        <f>IF(Calculations!$J13&gt;=0,Calculations!B13," ")</f>
        <v>46</v>
      </c>
      <c r="B13" s="16">
        <f>IF(Calculations!$J13&gt;=0,Calculations!C13," ")</f>
        <v>107761.78394205544</v>
      </c>
      <c r="C13" s="16">
        <f>IF(Calculations!$J13&gt;=0,Calculations!D13," ")</f>
        <v>23707.592467252198</v>
      </c>
      <c r="D13" s="16">
        <f>IF(Calculations!$J13&gt;=0,Calculations!E13," ")</f>
        <v>62290.524182600071</v>
      </c>
      <c r="E13" s="16">
        <f>IF(Calculations!$J13&gt;=0,Calculations!F13," ")</f>
        <v>21763.667292203172</v>
      </c>
      <c r="F13" s="16">
        <f>IF(Calculations!$J13&gt;=0,Calculations!G13," ")</f>
        <v>298617.00032395154</v>
      </c>
      <c r="G13" s="16">
        <f>IF(Calculations!$J13&gt;=0,Calculations!H13," ")</f>
        <v>23889.360025916125</v>
      </c>
      <c r="H13" s="16">
        <f>IF(Calculations!$J13&gt;=0,Calculations!I13," ")</f>
        <v>0</v>
      </c>
      <c r="I13" s="16">
        <f>IF(Calculations!$J13&gt;=0,Calculations!J13," ")</f>
        <v>344270.02764207084</v>
      </c>
      <c r="J13" s="16">
        <f>IF(Calculations!$J13&gt;=0,Calculations!K13," ")</f>
        <v>45653.027318119304</v>
      </c>
    </row>
    <row r="14" spans="1:10" x14ac:dyDescent="0.3">
      <c r="A14">
        <f>IF(Calculations!$J14&gt;=0,Calculations!B14," ")</f>
        <v>47</v>
      </c>
      <c r="B14" s="16">
        <f>IF(Calculations!$J14&gt;=0,Calculations!C14," ")</f>
        <v>112072.25529973766</v>
      </c>
      <c r="C14" s="16">
        <f>IF(Calculations!$J14&gt;=0,Calculations!D14," ")</f>
        <v>24655.896165942286</v>
      </c>
      <c r="D14" s="16">
        <f>IF(Calculations!$J14&gt;=0,Calculations!E14," ")</f>
        <v>64159.239908078074</v>
      </c>
      <c r="E14" s="16">
        <f>IF(Calculations!$J14&gt;=0,Calculations!F14," ")</f>
        <v>23257.119225717295</v>
      </c>
      <c r="F14" s="16">
        <f>IF(Calculations!$J14&gt;=0,Calculations!G14," ")</f>
        <v>344270.02764207084</v>
      </c>
      <c r="G14" s="16">
        <f>IF(Calculations!$J14&gt;=0,Calculations!H14," ")</f>
        <v>27541.602211365669</v>
      </c>
      <c r="H14" s="16">
        <f>IF(Calculations!$J14&gt;=0,Calculations!I14," ")</f>
        <v>0</v>
      </c>
      <c r="I14" s="16">
        <f>IF(Calculations!$J14&gt;=0,Calculations!J14," ")</f>
        <v>395068.74907915376</v>
      </c>
      <c r="J14" s="16">
        <f>IF(Calculations!$J14&gt;=0,Calculations!K14," ")</f>
        <v>50798.721437082917</v>
      </c>
    </row>
    <row r="15" spans="1:10" x14ac:dyDescent="0.3">
      <c r="A15">
        <f>IF(Calculations!$J15&gt;=0,Calculations!B15," ")</f>
        <v>48</v>
      </c>
      <c r="B15" s="16">
        <f>IF(Calculations!$J15&gt;=0,Calculations!C15," ")</f>
        <v>116555.14551172717</v>
      </c>
      <c r="C15" s="16">
        <f>IF(Calculations!$J15&gt;=0,Calculations!D15," ")</f>
        <v>25642.132012579976</v>
      </c>
      <c r="D15" s="16">
        <f>IF(Calculations!$J15&gt;=0,Calculations!E15," ")</f>
        <v>66084.017105320425</v>
      </c>
      <c r="E15" s="16">
        <f>IF(Calculations!$J15&gt;=0,Calculations!F15," ")</f>
        <v>24828.996393826776</v>
      </c>
      <c r="F15" s="16">
        <f>IF(Calculations!$J15&gt;=0,Calculations!G15," ")</f>
        <v>395068.74907915376</v>
      </c>
      <c r="G15" s="16">
        <f>IF(Calculations!$J15&gt;=0,Calculations!H15," ")</f>
        <v>31605.499926332301</v>
      </c>
      <c r="H15" s="16">
        <f>IF(Calculations!$J15&gt;=0,Calculations!I15," ")</f>
        <v>0</v>
      </c>
      <c r="I15" s="16">
        <f>IF(Calculations!$J15&gt;=0,Calculations!J15," ")</f>
        <v>451503.24539931287</v>
      </c>
      <c r="J15" s="16">
        <f>IF(Calculations!$J15&gt;=0,Calculations!K15," ")</f>
        <v>56434.496320159116</v>
      </c>
    </row>
    <row r="16" spans="1:10" x14ac:dyDescent="0.3">
      <c r="A16">
        <f>IF(Calculations!$J16&gt;=0,Calculations!B16," ")</f>
        <v>49</v>
      </c>
      <c r="B16" s="16">
        <f>IF(Calculations!$J16&gt;=0,Calculations!C16," ")</f>
        <v>121217.35133219625</v>
      </c>
      <c r="C16" s="16">
        <f>IF(Calculations!$J16&gt;=0,Calculations!D16," ")</f>
        <v>26667.817293083175</v>
      </c>
      <c r="D16" s="16">
        <f>IF(Calculations!$J16&gt;=0,Calculations!E16," ")</f>
        <v>68066.537618480041</v>
      </c>
      <c r="E16" s="16">
        <f>IF(Calculations!$J16&gt;=0,Calculations!F16," ")</f>
        <v>26482.996420633033</v>
      </c>
      <c r="F16" s="16">
        <f>IF(Calculations!$J16&gt;=0,Calculations!G16," ")</f>
        <v>451503.24539931287</v>
      </c>
      <c r="G16" s="16">
        <f>IF(Calculations!$J16&gt;=0,Calculations!H16," ")</f>
        <v>36120.259631945031</v>
      </c>
      <c r="H16" s="16">
        <f>IF(Calculations!$J16&gt;=0,Calculations!I16," ")</f>
        <v>0</v>
      </c>
      <c r="I16" s="16">
        <f>IF(Calculations!$J16&gt;=0,Calculations!J16," ")</f>
        <v>514106.50145189097</v>
      </c>
      <c r="J16" s="16">
        <f>IF(Calculations!$J16&gt;=0,Calculations!K16," ")</f>
        <v>62603.256052578101</v>
      </c>
    </row>
    <row r="17" spans="1:10" x14ac:dyDescent="0.3">
      <c r="A17">
        <f>IF(Calculations!$J17&gt;=0,Calculations!B17," ")</f>
        <v>50</v>
      </c>
      <c r="B17" s="16">
        <f>IF(Calculations!$J17&gt;=0,Calculations!C17," ")</f>
        <v>126066.0453854841</v>
      </c>
      <c r="C17" s="16">
        <f>IF(Calculations!$J17&gt;=0,Calculations!D17," ")</f>
        <v>27734.529984806504</v>
      </c>
      <c r="D17" s="16">
        <f>IF(Calculations!$J17&gt;=0,Calculations!E17," ")</f>
        <v>70108.533747034438</v>
      </c>
      <c r="E17" s="16">
        <f>IF(Calculations!$J17&gt;=0,Calculations!F17," ")</f>
        <v>28222.981653643161</v>
      </c>
      <c r="F17" s="16">
        <f>IF(Calculations!$J17&gt;=0,Calculations!G17," ")</f>
        <v>514106.50145189097</v>
      </c>
      <c r="G17" s="16">
        <f>IF(Calculations!$J17&gt;=0,Calculations!H17," ")</f>
        <v>41128.520116151281</v>
      </c>
      <c r="H17" s="16">
        <f>IF(Calculations!$J17&gt;=0,Calculations!I17," ")</f>
        <v>0</v>
      </c>
      <c r="I17" s="16">
        <f>IF(Calculations!$J17&gt;=0,Calculations!J17," ")</f>
        <v>583458.00322168542</v>
      </c>
      <c r="J17" s="16">
        <f>IF(Calculations!$J17&gt;=0,Calculations!K17," ")</f>
        <v>69351.501769794442</v>
      </c>
    </row>
    <row r="18" spans="1:10" x14ac:dyDescent="0.3">
      <c r="A18">
        <f>IF(Calculations!$J18&gt;=0,Calculations!B18," ")</f>
        <v>51</v>
      </c>
      <c r="B18" s="16">
        <f>IF(Calculations!$J18&gt;=0,Calculations!C18," ")</f>
        <v>131108.68720090349</v>
      </c>
      <c r="C18" s="16">
        <f>IF(Calculations!$J18&gt;=0,Calculations!D18," ")</f>
        <v>28843.911184198765</v>
      </c>
      <c r="D18" s="16">
        <f>IF(Calculations!$J18&gt;=0,Calculations!E18," ")</f>
        <v>72211.78975944547</v>
      </c>
      <c r="E18" s="16">
        <f>IF(Calculations!$J18&gt;=0,Calculations!F18," ")</f>
        <v>30052.986257259254</v>
      </c>
      <c r="F18" s="16">
        <f>IF(Calculations!$J18&gt;=0,Calculations!G18," ")</f>
        <v>583458.00322168542</v>
      </c>
      <c r="G18" s="16">
        <f>IF(Calculations!$J18&gt;=0,Calculations!H18," ")</f>
        <v>46676.640257734834</v>
      </c>
      <c r="H18" s="16">
        <f>IF(Calculations!$J18&gt;=0,Calculations!I18," ")</f>
        <v>0</v>
      </c>
      <c r="I18" s="16">
        <f>IF(Calculations!$J18&gt;=0,Calculations!J18," ")</f>
        <v>660187.62973667949</v>
      </c>
      <c r="J18" s="16">
        <f>IF(Calculations!$J18&gt;=0,Calculations!K18," ")</f>
        <v>76729.626514994074</v>
      </c>
    </row>
    <row r="19" spans="1:10" x14ac:dyDescent="0.3">
      <c r="A19">
        <f>IF(Calculations!$J19&gt;=0,Calculations!B19," ")</f>
        <v>52</v>
      </c>
      <c r="B19" s="16">
        <f>IF(Calculations!$J19&gt;=0,Calculations!C19," ")</f>
        <v>136353.03468893963</v>
      </c>
      <c r="C19" s="16">
        <f>IF(Calculations!$J19&gt;=0,Calculations!D19," ")</f>
        <v>29997.667631566717</v>
      </c>
      <c r="D19" s="16">
        <f>IF(Calculations!$J19&gt;=0,Calculations!E19," ")</f>
        <v>74378.143452228833</v>
      </c>
      <c r="E19" s="16">
        <f>IF(Calculations!$J19&gt;=0,Calculations!F19," ")</f>
        <v>31977.223605144085</v>
      </c>
      <c r="F19" s="16">
        <f>IF(Calculations!$J19&gt;=0,Calculations!G19," ")</f>
        <v>660187.62973667949</v>
      </c>
      <c r="G19" s="16">
        <f>IF(Calculations!$J19&gt;=0,Calculations!H19," ")</f>
        <v>52815.010378934363</v>
      </c>
      <c r="H19" s="16">
        <f>IF(Calculations!$J19&gt;=0,Calculations!I19," ")</f>
        <v>0</v>
      </c>
      <c r="I19" s="16">
        <f>IF(Calculations!$J19&gt;=0,Calculations!J19," ")</f>
        <v>744979.86372075789</v>
      </c>
      <c r="J19" s="16">
        <f>IF(Calculations!$J19&gt;=0,Calculations!K19," ")</f>
        <v>84792.233984078397</v>
      </c>
    </row>
    <row r="20" spans="1:10" x14ac:dyDescent="0.3">
      <c r="A20">
        <f>IF(Calculations!$J20&gt;=0,Calculations!B20," ")</f>
        <v>53</v>
      </c>
      <c r="B20" s="16">
        <f>IF(Calculations!$J20&gt;=0,Calculations!C20," ")</f>
        <v>141807.15607649722</v>
      </c>
      <c r="C20" s="16">
        <f>IF(Calculations!$J20&gt;=0,Calculations!D20," ")</f>
        <v>31197.574336829388</v>
      </c>
      <c r="D20" s="16">
        <f>IF(Calculations!$J20&gt;=0,Calculations!E20," ")</f>
        <v>76609.487755795693</v>
      </c>
      <c r="E20" s="16">
        <f>IF(Calculations!$J20&gt;=0,Calculations!F20," ")</f>
        <v>34000.093983872139</v>
      </c>
      <c r="F20" s="16">
        <f>IF(Calculations!$J20&gt;=0,Calculations!G20," ")</f>
        <v>744979.86372075789</v>
      </c>
      <c r="G20" s="16">
        <f>IF(Calculations!$J20&gt;=0,Calculations!H20," ")</f>
        <v>59598.389097660634</v>
      </c>
      <c r="H20" s="16">
        <f>IF(Calculations!$J20&gt;=0,Calculations!I20," ")</f>
        <v>0</v>
      </c>
      <c r="I20" s="16">
        <f>IF(Calculations!$J20&gt;=0,Calculations!J20," ")</f>
        <v>838578.34680229065</v>
      </c>
      <c r="J20" s="16">
        <f>IF(Calculations!$J20&gt;=0,Calculations!K20," ")</f>
        <v>93598.483081532759</v>
      </c>
    </row>
    <row r="21" spans="1:10" x14ac:dyDescent="0.3">
      <c r="A21">
        <f>IF(Calculations!$J21&gt;=0,Calculations!B21," ")</f>
        <v>54</v>
      </c>
      <c r="B21" s="16">
        <f>IF(Calculations!$J21&gt;=0,Calculations!C21," ")</f>
        <v>147479.44231955713</v>
      </c>
      <c r="C21" s="16">
        <f>IF(Calculations!$J21&gt;=0,Calculations!D21," ")</f>
        <v>32445.477310302569</v>
      </c>
      <c r="D21" s="16">
        <f>IF(Calculations!$J21&gt;=0,Calculations!E21," ")</f>
        <v>78907.772388469573</v>
      </c>
      <c r="E21" s="16">
        <f>IF(Calculations!$J21&gt;=0,Calculations!F21," ")</f>
        <v>36126.19262078499</v>
      </c>
      <c r="F21" s="16">
        <f>IF(Calculations!$J21&gt;=0,Calculations!G21," ")</f>
        <v>838578.34680229065</v>
      </c>
      <c r="G21" s="16">
        <f>IF(Calculations!$J21&gt;=0,Calculations!H21," ")</f>
        <v>67086.267744183249</v>
      </c>
      <c r="H21" s="16">
        <f>IF(Calculations!$J21&gt;=0,Calculations!I21," ")</f>
        <v>0</v>
      </c>
      <c r="I21" s="16">
        <f>IF(Calculations!$J21&gt;=0,Calculations!J21," ")</f>
        <v>941790.80716725881</v>
      </c>
      <c r="J21" s="16">
        <f>IF(Calculations!$J21&gt;=0,Calculations!K21," ")</f>
        <v>103212.46036496817</v>
      </c>
    </row>
    <row r="22" spans="1:10" x14ac:dyDescent="0.3">
      <c r="A22">
        <f>IF(Calculations!$J22&gt;=0,Calculations!B22," ")</f>
        <v>55</v>
      </c>
      <c r="B22" s="16">
        <f>IF(Calculations!$J22&gt;=0,Calculations!C22," ")</f>
        <v>153378.62001233941</v>
      </c>
      <c r="C22" s="16">
        <f>IF(Calculations!$J22&gt;=0,Calculations!D22," ")</f>
        <v>33743.296402714674</v>
      </c>
      <c r="D22" s="16">
        <f>IF(Calculations!$J22&gt;=0,Calculations!E22," ")</f>
        <v>81275.005560123667</v>
      </c>
      <c r="E22" s="16">
        <f>IF(Calculations!$J22&gt;=0,Calculations!F22," ")</f>
        <v>38360.31804950106</v>
      </c>
      <c r="F22" s="16">
        <f>IF(Calculations!$J22&gt;=0,Calculations!G22," ")</f>
        <v>941790.80716725881</v>
      </c>
      <c r="G22" s="16">
        <f>IF(Calculations!$J22&gt;=0,Calculations!H22," ")</f>
        <v>75343.2645733807</v>
      </c>
      <c r="H22" s="16">
        <f>IF(Calculations!$J22&gt;=0,Calculations!I22," ")</f>
        <v>0</v>
      </c>
      <c r="I22" s="16">
        <f>IF(Calculations!$J22&gt;=0,Calculations!J22," ")</f>
        <v>1055494.3897901406</v>
      </c>
      <c r="J22" s="16">
        <f>IF(Calculations!$J22&gt;=0,Calculations!K22," ")</f>
        <v>113703.58262288175</v>
      </c>
    </row>
    <row r="23" spans="1:10" x14ac:dyDescent="0.3">
      <c r="A23">
        <f>IF(Calculations!$J23&gt;=0,Calculations!B23," ")</f>
        <v>56</v>
      </c>
      <c r="B23" s="16">
        <f>IF(Calculations!$J23&gt;=0,Calculations!C23," ")</f>
        <v>159513.76481283299</v>
      </c>
      <c r="C23" s="16">
        <f>IF(Calculations!$J23&gt;=0,Calculations!D23," ")</f>
        <v>35093.028258823259</v>
      </c>
      <c r="D23" s="16">
        <f>IF(Calculations!$J23&gt;=0,Calculations!E23," ")</f>
        <v>83713.255726927382</v>
      </c>
      <c r="E23" s="16">
        <f>IF(Calculations!$J23&gt;=0,Calculations!F23," ")</f>
        <v>40707.480827082341</v>
      </c>
      <c r="F23" s="16">
        <f>IF(Calculations!$J23&gt;=0,Calculations!G23," ")</f>
        <v>1055494.3897901406</v>
      </c>
      <c r="G23" s="16">
        <f>IF(Calculations!$J23&gt;=0,Calculations!H23," ")</f>
        <v>84439.551183211253</v>
      </c>
      <c r="H23" s="16">
        <f>IF(Calculations!$J23&gt;=0,Calculations!I23," ")</f>
        <v>0</v>
      </c>
      <c r="I23" s="16">
        <f>IF(Calculations!$J23&gt;=0,Calculations!J23," ")</f>
        <v>1180641.4218004341</v>
      </c>
      <c r="J23" s="16">
        <f>IF(Calculations!$J23&gt;=0,Calculations!K23," ")</f>
        <v>125147.03201029357</v>
      </c>
    </row>
    <row r="24" spans="1:10" x14ac:dyDescent="0.3">
      <c r="A24">
        <f>IF(Calculations!$J24&gt;=0,Calculations!B24," ")</f>
        <v>57</v>
      </c>
      <c r="B24" s="16">
        <f>IF(Calculations!$J24&gt;=0,Calculations!C24," ")</f>
        <v>165894.31540534631</v>
      </c>
      <c r="C24" s="16">
        <f>IF(Calculations!$J24&gt;=0,Calculations!D24," ")</f>
        <v>36496.749389176191</v>
      </c>
      <c r="D24" s="16">
        <f>IF(Calculations!$J24&gt;=0,Calculations!E24," ")</f>
        <v>86224.653398735201</v>
      </c>
      <c r="E24" s="16">
        <f>IF(Calculations!$J24&gt;=0,Calculations!F24," ")</f>
        <v>43172.912617434908</v>
      </c>
      <c r="F24" s="16">
        <f>IF(Calculations!$J24&gt;=0,Calculations!G24," ")</f>
        <v>1180641.4218004341</v>
      </c>
      <c r="G24" s="16">
        <f>IF(Calculations!$J24&gt;=0,Calculations!H24," ")</f>
        <v>94451.313744034735</v>
      </c>
      <c r="H24" s="16">
        <f>IF(Calculations!$J24&gt;=0,Calculations!I24," ")</f>
        <v>0</v>
      </c>
      <c r="I24" s="16">
        <f>IF(Calculations!$J24&gt;=0,Calculations!J24," ")</f>
        <v>1318265.6481619037</v>
      </c>
      <c r="J24" s="16">
        <f>IF(Calculations!$J24&gt;=0,Calculations!K24," ")</f>
        <v>137624.2263614696</v>
      </c>
    </row>
    <row r="25" spans="1:10" x14ac:dyDescent="0.3">
      <c r="A25">
        <f>IF(Calculations!$J25&gt;=0,Calculations!B25," ")</f>
        <v>58</v>
      </c>
      <c r="B25" s="16">
        <f>IF(Calculations!$J25&gt;=0,Calculations!C25," ")</f>
        <v>172530.08802156016</v>
      </c>
      <c r="C25" s="16">
        <f>IF(Calculations!$J25&gt;=0,Calculations!D25," ")</f>
        <v>37956.619364743237</v>
      </c>
      <c r="D25" s="16">
        <f>IF(Calculations!$J25&gt;=0,Calculations!E25," ")</f>
        <v>88811.393000697266</v>
      </c>
      <c r="E25" s="16">
        <f>IF(Calculations!$J25&gt;=0,Calculations!F25," ")</f>
        <v>45762.075656119661</v>
      </c>
      <c r="F25" s="16">
        <f>IF(Calculations!$J25&gt;=0,Calculations!G25," ")</f>
        <v>1318265.6481619037</v>
      </c>
      <c r="G25" s="16">
        <f>IF(Calculations!$J25&gt;=0,Calculations!H25," ")</f>
        <v>105461.25185295229</v>
      </c>
      <c r="H25" s="16">
        <f>IF(Calculations!$J25&gt;=0,Calculations!I25," ")</f>
        <v>0</v>
      </c>
      <c r="I25" s="16">
        <f>IF(Calculations!$J25&gt;=0,Calculations!J25," ")</f>
        <v>1469488.9756709756</v>
      </c>
      <c r="J25" s="16">
        <f>IF(Calculations!$J25&gt;=0,Calculations!K25," ")</f>
        <v>151223.32750907191</v>
      </c>
    </row>
    <row r="26" spans="1:10" x14ac:dyDescent="0.3">
      <c r="A26">
        <f>IF(Calculations!$J26&gt;=0,Calculations!B26," ")</f>
        <v>59</v>
      </c>
      <c r="B26" s="16">
        <f>IF(Calculations!$J26&gt;=0,Calculations!C26," ")</f>
        <v>179431.29154242258</v>
      </c>
      <c r="C26" s="16">
        <f>IF(Calculations!$J26&gt;=0,Calculations!D26," ")</f>
        <v>39474.884139332971</v>
      </c>
      <c r="D26" s="16">
        <f>IF(Calculations!$J26&gt;=0,Calculations!E26," ")</f>
        <v>91475.734790718183</v>
      </c>
      <c r="E26" s="16">
        <f>IF(Calculations!$J26&gt;=0,Calculations!F26," ")</f>
        <v>48480.672612371418</v>
      </c>
      <c r="F26" s="16">
        <f>IF(Calculations!$J26&gt;=0,Calculations!G26," ")</f>
        <v>1469488.9756709756</v>
      </c>
      <c r="G26" s="16">
        <f>IF(Calculations!$J26&gt;=0,Calculations!H26," ")</f>
        <v>117559.11805367806</v>
      </c>
      <c r="H26" s="16">
        <f>IF(Calculations!$J26&gt;=0,Calculations!I26," ")</f>
        <v>0</v>
      </c>
      <c r="I26" s="16">
        <f>IF(Calculations!$J26&gt;=0,Calculations!J26," ")</f>
        <v>1635528.766337025</v>
      </c>
      <c r="J26" s="16">
        <f>IF(Calculations!$J26&gt;=0,Calculations!K26," ")</f>
        <v>166039.79066604935</v>
      </c>
    </row>
    <row r="27" spans="1:10" x14ac:dyDescent="0.3">
      <c r="A27">
        <f>IF(Calculations!$J27&gt;=0,Calculations!B27," ")</f>
        <v>60</v>
      </c>
      <c r="B27" s="16">
        <f>IF(Calculations!$J27&gt;=0,Calculations!C27," ")</f>
        <v>0</v>
      </c>
      <c r="C27" s="16">
        <f>IF(Calculations!$J27&gt;=0,Calculations!D27," ")</f>
        <v>0</v>
      </c>
      <c r="D27" s="16">
        <f>IF(Calculations!$J27&gt;=0,Calculations!E27," ")</f>
        <v>94220.00683443973</v>
      </c>
      <c r="E27" s="16">
        <f>IF(Calculations!$J27&gt;=0,Calculations!F27," ")</f>
        <v>0</v>
      </c>
      <c r="F27" s="16">
        <f>IF(Calculations!$J27&gt;=0,Calculations!G27," ")</f>
        <v>1635528.766337025</v>
      </c>
      <c r="G27" s="16">
        <f>IF(Calculations!$J27&gt;=0,Calculations!H27," ")</f>
        <v>98131.725980221498</v>
      </c>
      <c r="H27" s="16">
        <f>IF(Calculations!$J27&gt;=0,Calculations!I27," ")</f>
        <v>94220.00683443973</v>
      </c>
      <c r="I27" s="16">
        <f>IF(Calculations!$J27&gt;=0,Calculations!J27," ")</f>
        <v>1639440.4854828068</v>
      </c>
      <c r="J27" s="16">
        <f>IF(Calculations!$J27&gt;=0,Calculations!K27," ")</f>
        <v>3911.7191457818262</v>
      </c>
    </row>
    <row r="28" spans="1:10" x14ac:dyDescent="0.3">
      <c r="A28">
        <f>IF(Calculations!$J28&gt;=0,Calculations!B28," ")</f>
        <v>61</v>
      </c>
      <c r="B28" s="16">
        <f>IF(Calculations!$J28&gt;=0,Calculations!C28," ")</f>
        <v>0</v>
      </c>
      <c r="C28" s="16">
        <f>IF(Calculations!$J28&gt;=0,Calculations!D28," ")</f>
        <v>0</v>
      </c>
      <c r="D28" s="16">
        <f>IF(Calculations!$J28&gt;=0,Calculations!E28," ")</f>
        <v>97046.607039472918</v>
      </c>
      <c r="E28" s="16">
        <f>IF(Calculations!$J28&gt;=0,Calculations!F28," ")</f>
        <v>0</v>
      </c>
      <c r="F28" s="16">
        <f>IF(Calculations!$J28&gt;=0,Calculations!G28," ")</f>
        <v>1639440.4854828068</v>
      </c>
      <c r="G28" s="16">
        <f>IF(Calculations!$J28&gt;=0,Calculations!H28," ")</f>
        <v>98366.429128968404</v>
      </c>
      <c r="H28" s="16">
        <f>IF(Calculations!$J28&gt;=0,Calculations!I28," ")</f>
        <v>97046.607039472918</v>
      </c>
      <c r="I28" s="16">
        <f>IF(Calculations!$J28&gt;=0,Calculations!J28," ")</f>
        <v>1640760.3075723022</v>
      </c>
      <c r="J28" s="16">
        <f>IF(Calculations!$J28&gt;=0,Calculations!K28," ")</f>
        <v>1319.8220894953702</v>
      </c>
    </row>
    <row r="29" spans="1:10" x14ac:dyDescent="0.3">
      <c r="A29">
        <f>IF(Calculations!$J29&gt;=0,Calculations!B29," ")</f>
        <v>62</v>
      </c>
      <c r="B29" s="16">
        <f>IF(Calculations!$J29&gt;=0,Calculations!C29," ")</f>
        <v>0</v>
      </c>
      <c r="C29" s="16">
        <f>IF(Calculations!$J29&gt;=0,Calculations!D29," ")</f>
        <v>0</v>
      </c>
      <c r="D29" s="16">
        <f>IF(Calculations!$J29&gt;=0,Calculations!E29," ")</f>
        <v>99958.005250657108</v>
      </c>
      <c r="E29" s="16">
        <f>IF(Calculations!$J29&gt;=0,Calculations!F29," ")</f>
        <v>0</v>
      </c>
      <c r="F29" s="16">
        <f>IF(Calculations!$J29&gt;=0,Calculations!G29," ")</f>
        <v>1640760.3075723022</v>
      </c>
      <c r="G29" s="16">
        <f>IF(Calculations!$J29&gt;=0,Calculations!H29," ")</f>
        <v>98445.618454338124</v>
      </c>
      <c r="H29" s="16">
        <f>IF(Calculations!$J29&gt;=0,Calculations!I29," ")</f>
        <v>99958.005250657108</v>
      </c>
      <c r="I29" s="16">
        <f>IF(Calculations!$J29&gt;=0,Calculations!J29," ")</f>
        <v>1639247.920775983</v>
      </c>
      <c r="J29" s="16">
        <f>IF(Calculations!$J29&gt;=0,Calculations!K29," ")</f>
        <v>-1512.3867963191587</v>
      </c>
    </row>
    <row r="30" spans="1:10" x14ac:dyDescent="0.3">
      <c r="A30">
        <f>IF(Calculations!$J30&gt;=0,Calculations!B30," ")</f>
        <v>63</v>
      </c>
      <c r="B30" s="16">
        <f>IF(Calculations!$J30&gt;=0,Calculations!C30," ")</f>
        <v>0</v>
      </c>
      <c r="C30" s="16">
        <f>IF(Calculations!$J30&gt;=0,Calculations!D30," ")</f>
        <v>0</v>
      </c>
      <c r="D30" s="16">
        <f>IF(Calculations!$J30&gt;=0,Calculations!E30," ")</f>
        <v>102956.74540817682</v>
      </c>
      <c r="E30" s="16">
        <f>IF(Calculations!$J30&gt;=0,Calculations!F30," ")</f>
        <v>0</v>
      </c>
      <c r="F30" s="16">
        <f>IF(Calculations!$J30&gt;=0,Calculations!G30," ")</f>
        <v>1639247.920775983</v>
      </c>
      <c r="G30" s="16">
        <f>IF(Calculations!$J30&gt;=0,Calculations!H30," ")</f>
        <v>98354.875246558979</v>
      </c>
      <c r="H30" s="16">
        <f>IF(Calculations!$J30&gt;=0,Calculations!I30," ")</f>
        <v>102956.74540817682</v>
      </c>
      <c r="I30" s="16">
        <f>IF(Calculations!$J30&gt;=0,Calculations!J30," ")</f>
        <v>1634646.0506143651</v>
      </c>
      <c r="J30" s="16">
        <f>IF(Calculations!$J30&gt;=0,Calculations!K30," ")</f>
        <v>-4601.8701616178732</v>
      </c>
    </row>
    <row r="31" spans="1:10" x14ac:dyDescent="0.3">
      <c r="A31">
        <f>IF(Calculations!$J31&gt;=0,Calculations!B31," ")</f>
        <v>64</v>
      </c>
      <c r="B31" s="16">
        <f>IF(Calculations!$J31&gt;=0,Calculations!C31," ")</f>
        <v>0</v>
      </c>
      <c r="C31" s="16">
        <f>IF(Calculations!$J31&gt;=0,Calculations!D31," ")</f>
        <v>0</v>
      </c>
      <c r="D31" s="16">
        <f>IF(Calculations!$J31&gt;=0,Calculations!E31," ")</f>
        <v>106045.44777042214</v>
      </c>
      <c r="E31" s="16">
        <f>IF(Calculations!$J31&gt;=0,Calculations!F31," ")</f>
        <v>0</v>
      </c>
      <c r="F31" s="16">
        <f>IF(Calculations!$J31&gt;=0,Calculations!G31," ")</f>
        <v>1634646.0506143651</v>
      </c>
      <c r="G31" s="16">
        <f>IF(Calculations!$J31&gt;=0,Calculations!H31," ")</f>
        <v>98078.763036861899</v>
      </c>
      <c r="H31" s="16">
        <f>IF(Calculations!$J31&gt;=0,Calculations!I31," ")</f>
        <v>106045.44777042214</v>
      </c>
      <c r="I31" s="16">
        <f>IF(Calculations!$J31&gt;=0,Calculations!J31," ")</f>
        <v>1626679.3658808048</v>
      </c>
      <c r="J31" s="16">
        <f>IF(Calculations!$J31&gt;=0,Calculations!K31," ")</f>
        <v>-7966.6847335603088</v>
      </c>
    </row>
    <row r="32" spans="1:10" x14ac:dyDescent="0.3">
      <c r="A32">
        <f>IF(Calculations!$J32&gt;=0,Calculations!B32," ")</f>
        <v>65</v>
      </c>
      <c r="B32" s="16">
        <f>IF(Calculations!$J32&gt;=0,Calculations!C32," ")</f>
        <v>0</v>
      </c>
      <c r="C32" s="16">
        <f>IF(Calculations!$J32&gt;=0,Calculations!D32," ")</f>
        <v>0</v>
      </c>
      <c r="D32" s="16">
        <f>IF(Calculations!$J32&gt;=0,Calculations!E32," ")</f>
        <v>109226.8112035348</v>
      </c>
      <c r="E32" s="16">
        <f>IF(Calculations!$J32&gt;=0,Calculations!F32," ")</f>
        <v>0</v>
      </c>
      <c r="F32" s="16">
        <f>IF(Calculations!$J32&gt;=0,Calculations!G32," ")</f>
        <v>1626679.3658808048</v>
      </c>
      <c r="G32" s="16">
        <f>IF(Calculations!$J32&gt;=0,Calculations!H32," ")</f>
        <v>97600.76195284829</v>
      </c>
      <c r="H32" s="16">
        <f>IF(Calculations!$J32&gt;=0,Calculations!I32," ")</f>
        <v>109226.8112035348</v>
      </c>
      <c r="I32" s="16">
        <f>IF(Calculations!$J32&gt;=0,Calculations!J32," ")</f>
        <v>1615053.3166301185</v>
      </c>
      <c r="J32" s="16">
        <f>IF(Calculations!$J32&gt;=0,Calculations!K32," ")</f>
        <v>-11626.049250686308</v>
      </c>
    </row>
    <row r="33" spans="1:10" x14ac:dyDescent="0.3">
      <c r="A33">
        <f>IF(Calculations!$J33&gt;=0,Calculations!B33," ")</f>
        <v>66</v>
      </c>
      <c r="B33" s="16">
        <f>IF(Calculations!$J33&gt;=0,Calculations!C33," ")</f>
        <v>0</v>
      </c>
      <c r="C33" s="16">
        <f>IF(Calculations!$J33&gt;=0,Calculations!D33," ")</f>
        <v>0</v>
      </c>
      <c r="D33" s="16">
        <f>IF(Calculations!$J33&gt;=0,Calculations!E33," ")</f>
        <v>112503.61553964084</v>
      </c>
      <c r="E33" s="16">
        <f>IF(Calculations!$J33&gt;=0,Calculations!F33," ")</f>
        <v>0</v>
      </c>
      <c r="F33" s="16">
        <f>IF(Calculations!$J33&gt;=0,Calculations!G33," ")</f>
        <v>1615053.3166301185</v>
      </c>
      <c r="G33" s="16">
        <f>IF(Calculations!$J33&gt;=0,Calculations!H33," ")</f>
        <v>96903.198997807107</v>
      </c>
      <c r="H33" s="16">
        <f>IF(Calculations!$J33&gt;=0,Calculations!I33," ")</f>
        <v>112503.61553964084</v>
      </c>
      <c r="I33" s="16">
        <f>IF(Calculations!$J33&gt;=0,Calculations!J33," ")</f>
        <v>1599452.9000882849</v>
      </c>
      <c r="J33" s="16">
        <f>IF(Calculations!$J33&gt;=0,Calculations!K33," ")</f>
        <v>-15600.416541833663</v>
      </c>
    </row>
    <row r="34" spans="1:10" x14ac:dyDescent="0.3">
      <c r="A34">
        <f>IF(Calculations!$J34&gt;=0,Calculations!B34," ")</f>
        <v>67</v>
      </c>
      <c r="B34" s="16">
        <f>IF(Calculations!$J34&gt;=0,Calculations!C34," ")</f>
        <v>0</v>
      </c>
      <c r="C34" s="16">
        <f>IF(Calculations!$J34&gt;=0,Calculations!D34," ")</f>
        <v>0</v>
      </c>
      <c r="D34" s="16">
        <f>IF(Calculations!$J34&gt;=0,Calculations!E34," ")</f>
        <v>115878.72400583007</v>
      </c>
      <c r="E34" s="16">
        <f>IF(Calculations!$J34&gt;=0,Calculations!F34," ")</f>
        <v>0</v>
      </c>
      <c r="F34" s="16">
        <f>IF(Calculations!$J34&gt;=0,Calculations!G34," ")</f>
        <v>1599452.9000882849</v>
      </c>
      <c r="G34" s="16">
        <f>IF(Calculations!$J34&gt;=0,Calculations!H34," ")</f>
        <v>95967.174005297085</v>
      </c>
      <c r="H34" s="16">
        <f>IF(Calculations!$J34&gt;=0,Calculations!I34," ")</f>
        <v>115878.72400583007</v>
      </c>
      <c r="I34" s="16">
        <f>IF(Calculations!$J34&gt;=0,Calculations!J34," ")</f>
        <v>1579541.3500877519</v>
      </c>
      <c r="J34" s="16">
        <f>IF(Calculations!$J34&gt;=0,Calculations!K34," ")</f>
        <v>-19911.550000532996</v>
      </c>
    </row>
    <row r="35" spans="1:10" x14ac:dyDescent="0.3">
      <c r="A35">
        <f>IF(Calculations!$J35&gt;=0,Calculations!B35," ")</f>
        <v>68</v>
      </c>
      <c r="B35" s="16">
        <f>IF(Calculations!$J35&gt;=0,Calculations!C35," ")</f>
        <v>0</v>
      </c>
      <c r="C35" s="16">
        <f>IF(Calculations!$J35&gt;=0,Calculations!D35," ")</f>
        <v>0</v>
      </c>
      <c r="D35" s="16">
        <f>IF(Calculations!$J35&gt;=0,Calculations!E35," ")</f>
        <v>119355.08572600497</v>
      </c>
      <c r="E35" s="16">
        <f>IF(Calculations!$J35&gt;=0,Calculations!F35," ")</f>
        <v>0</v>
      </c>
      <c r="F35" s="16">
        <f>IF(Calculations!$J35&gt;=0,Calculations!G35," ")</f>
        <v>1579541.3500877519</v>
      </c>
      <c r="G35" s="16">
        <f>IF(Calculations!$J35&gt;=0,Calculations!H35," ")</f>
        <v>94772.481005265116</v>
      </c>
      <c r="H35" s="16">
        <f>IF(Calculations!$J35&gt;=0,Calculations!I35," ")</f>
        <v>119355.08572600497</v>
      </c>
      <c r="I35" s="16">
        <f>IF(Calculations!$J35&gt;=0,Calculations!J35," ")</f>
        <v>1554958.745367012</v>
      </c>
      <c r="J35" s="16">
        <f>IF(Calculations!$J35&gt;=0,Calculations!K35," ")</f>
        <v>-24582.604720739881</v>
      </c>
    </row>
    <row r="36" spans="1:10" x14ac:dyDescent="0.3">
      <c r="A36">
        <f>IF(Calculations!$J36&gt;=0,Calculations!B36," ")</f>
        <v>69</v>
      </c>
      <c r="B36" s="16">
        <f>IF(Calculations!$J36&gt;=0,Calculations!C36," ")</f>
        <v>0</v>
      </c>
      <c r="C36" s="16">
        <f>IF(Calculations!$J36&gt;=0,Calculations!D36," ")</f>
        <v>0</v>
      </c>
      <c r="D36" s="16">
        <f>IF(Calculations!$J36&gt;=0,Calculations!E36," ")</f>
        <v>122935.73829778512</v>
      </c>
      <c r="E36" s="16">
        <f>IF(Calculations!$J36&gt;=0,Calculations!F36," ")</f>
        <v>0</v>
      </c>
      <c r="F36" s="16">
        <f>IF(Calculations!$J36&gt;=0,Calculations!G36," ")</f>
        <v>1554958.745367012</v>
      </c>
      <c r="G36" s="16">
        <f>IF(Calculations!$J36&gt;=0,Calculations!H36," ")</f>
        <v>93297.524722020709</v>
      </c>
      <c r="H36" s="16">
        <f>IF(Calculations!$J36&gt;=0,Calculations!I36," ")</f>
        <v>122935.73829778512</v>
      </c>
      <c r="I36" s="16">
        <f>IF(Calculations!$J36&gt;=0,Calculations!J36," ")</f>
        <v>1525320.5317912474</v>
      </c>
      <c r="J36" s="16">
        <f>IF(Calculations!$J36&gt;=0,Calculations!K36," ")</f>
        <v>-29638.213575764559</v>
      </c>
    </row>
    <row r="37" spans="1:10" x14ac:dyDescent="0.3">
      <c r="A37">
        <f>IF(Calculations!$J37&gt;=0,Calculations!B37," ")</f>
        <v>70</v>
      </c>
      <c r="B37" s="16">
        <f>IF(Calculations!$J37&gt;=0,Calculations!C37," ")</f>
        <v>0</v>
      </c>
      <c r="C37" s="16">
        <f>IF(Calculations!$J37&gt;=0,Calculations!D37," ")</f>
        <v>0</v>
      </c>
      <c r="D37" s="16">
        <f>IF(Calculations!$J37&gt;=0,Calculations!E37," ")</f>
        <v>126623.81044671868</v>
      </c>
      <c r="E37" s="16">
        <f>IF(Calculations!$J37&gt;=0,Calculations!F37," ")</f>
        <v>0</v>
      </c>
      <c r="F37" s="16">
        <f>IF(Calculations!$J37&gt;=0,Calculations!G37," ")</f>
        <v>1525320.5317912474</v>
      </c>
      <c r="G37" s="16">
        <f>IF(Calculations!$J37&gt;=0,Calculations!H37," ")</f>
        <v>91519.231907474837</v>
      </c>
      <c r="H37" s="16">
        <f>IF(Calculations!$J37&gt;=0,Calculations!I37," ")</f>
        <v>126623.81044671868</v>
      </c>
      <c r="I37" s="16">
        <f>IF(Calculations!$J37&gt;=0,Calculations!J37," ")</f>
        <v>1490215.9532520035</v>
      </c>
      <c r="J37" s="16">
        <f>IF(Calculations!$J37&gt;=0,Calculations!K37," ")</f>
        <v>-35104.578539243899</v>
      </c>
    </row>
    <row r="38" spans="1:10" x14ac:dyDescent="0.3">
      <c r="A38">
        <f>IF(Calculations!$J38&gt;=0,Calculations!B38," ")</f>
        <v>71</v>
      </c>
      <c r="B38" s="16">
        <f>IF(Calculations!$J38&gt;=0,Calculations!C38," ")</f>
        <v>0</v>
      </c>
      <c r="C38" s="16">
        <f>IF(Calculations!$J38&gt;=0,Calculations!D38," ")</f>
        <v>0</v>
      </c>
      <c r="D38" s="16">
        <f>IF(Calculations!$J38&gt;=0,Calculations!E38," ")</f>
        <v>130422.52476012024</v>
      </c>
      <c r="E38" s="16">
        <f>IF(Calculations!$J38&gt;=0,Calculations!F38," ")</f>
        <v>0</v>
      </c>
      <c r="F38" s="16">
        <f>IF(Calculations!$J38&gt;=0,Calculations!G38," ")</f>
        <v>1490215.9532520035</v>
      </c>
      <c r="G38" s="16">
        <f>IF(Calculations!$J38&gt;=0,Calculations!H38," ")</f>
        <v>89412.957195120209</v>
      </c>
      <c r="H38" s="16">
        <f>IF(Calculations!$J38&gt;=0,Calculations!I38," ")</f>
        <v>130422.52476012024</v>
      </c>
      <c r="I38" s="16">
        <f>IF(Calculations!$J38&gt;=0,Calculations!J38," ")</f>
        <v>1449206.3856870034</v>
      </c>
      <c r="J38" s="16">
        <f>IF(Calculations!$J38&gt;=0,Calculations!K38," ")</f>
        <v>-41009.56756500015</v>
      </c>
    </row>
    <row r="39" spans="1:10" x14ac:dyDescent="0.3">
      <c r="A39">
        <f>IF(Calculations!$J39&gt;=0,Calculations!B39," ")</f>
        <v>72</v>
      </c>
      <c r="B39" s="16">
        <f>IF(Calculations!$J39&gt;=0,Calculations!C39," ")</f>
        <v>0</v>
      </c>
      <c r="C39" s="16">
        <f>IF(Calculations!$J39&gt;=0,Calculations!D39," ")</f>
        <v>0</v>
      </c>
      <c r="D39" s="16">
        <f>IF(Calculations!$J39&gt;=0,Calculations!E39," ")</f>
        <v>134335.20050292386</v>
      </c>
      <c r="E39" s="16">
        <f>IF(Calculations!$J39&gt;=0,Calculations!F39," ")</f>
        <v>0</v>
      </c>
      <c r="F39" s="16">
        <f>IF(Calculations!$J39&gt;=0,Calculations!G39," ")</f>
        <v>1449206.3856870034</v>
      </c>
      <c r="G39" s="16">
        <f>IF(Calculations!$J39&gt;=0,Calculations!H39," ")</f>
        <v>86952.383141220198</v>
      </c>
      <c r="H39" s="16">
        <f>IF(Calculations!$J39&gt;=0,Calculations!I39," ")</f>
        <v>134335.20050292386</v>
      </c>
      <c r="I39" s="16">
        <f>IF(Calculations!$J39&gt;=0,Calculations!J39," ")</f>
        <v>1401823.5683252995</v>
      </c>
      <c r="J39" s="16">
        <f>IF(Calculations!$J39&gt;=0,Calculations!K39," ")</f>
        <v>-47382.817361703841</v>
      </c>
    </row>
    <row r="40" spans="1:10" x14ac:dyDescent="0.3">
      <c r="A40">
        <f>IF(Calculations!$J40&gt;=0,Calculations!B40," ")</f>
        <v>73</v>
      </c>
      <c r="B40" s="16">
        <f>IF(Calculations!$J40&gt;=0,Calculations!C40," ")</f>
        <v>0</v>
      </c>
      <c r="C40" s="16">
        <f>IF(Calculations!$J40&gt;=0,Calculations!D40," ")</f>
        <v>0</v>
      </c>
      <c r="D40" s="16">
        <f>IF(Calculations!$J40&gt;=0,Calculations!E40," ")</f>
        <v>138365.25651801159</v>
      </c>
      <c r="E40" s="16">
        <f>IF(Calculations!$J40&gt;=0,Calculations!F40," ")</f>
        <v>0</v>
      </c>
      <c r="F40" s="16">
        <f>IF(Calculations!$J40&gt;=0,Calculations!G40," ")</f>
        <v>1401823.5683252995</v>
      </c>
      <c r="G40" s="16">
        <f>IF(Calculations!$J40&gt;=0,Calculations!H40," ")</f>
        <v>84109.414099517962</v>
      </c>
      <c r="H40" s="16">
        <f>IF(Calculations!$J40&gt;=0,Calculations!I40," ")</f>
        <v>138365.25651801159</v>
      </c>
      <c r="I40" s="16">
        <f>IF(Calculations!$J40&gt;=0,Calculations!J40," ")</f>
        <v>1347567.7259068058</v>
      </c>
      <c r="J40" s="16">
        <f>IF(Calculations!$J40&gt;=0,Calculations!K40," ")</f>
        <v>-54255.842418493703</v>
      </c>
    </row>
    <row r="41" spans="1:10" x14ac:dyDescent="0.3">
      <c r="A41">
        <f>IF(Calculations!$J41&gt;=0,Calculations!B41," ")</f>
        <v>74</v>
      </c>
      <c r="B41" s="16">
        <f>IF(Calculations!$J41&gt;=0,Calculations!C41," ")</f>
        <v>0</v>
      </c>
      <c r="C41" s="16">
        <f>IF(Calculations!$J41&gt;=0,Calculations!D41," ")</f>
        <v>0</v>
      </c>
      <c r="D41" s="16">
        <f>IF(Calculations!$J41&gt;=0,Calculations!E41," ")</f>
        <v>142516.21421355195</v>
      </c>
      <c r="E41" s="16">
        <f>IF(Calculations!$J41&gt;=0,Calculations!F41," ")</f>
        <v>0</v>
      </c>
      <c r="F41" s="16">
        <f>IF(Calculations!$J41&gt;=0,Calculations!G41," ")</f>
        <v>1347567.7259068058</v>
      </c>
      <c r="G41" s="16">
        <f>IF(Calculations!$J41&gt;=0,Calculations!H41," ")</f>
        <v>80854.063554408349</v>
      </c>
      <c r="H41" s="16">
        <f>IF(Calculations!$J41&gt;=0,Calculations!I41," ")</f>
        <v>142516.21421355195</v>
      </c>
      <c r="I41" s="16">
        <f>IF(Calculations!$J41&gt;=0,Calculations!J41," ")</f>
        <v>1285905.5752476621</v>
      </c>
      <c r="J41" s="16">
        <f>IF(Calculations!$J41&gt;=0,Calculations!K41," ")</f>
        <v>-61662.150659143692</v>
      </c>
    </row>
    <row r="42" spans="1:10" x14ac:dyDescent="0.3">
      <c r="A42">
        <f>IF(Calculations!$J42&gt;=0,Calculations!B42," ")</f>
        <v>75</v>
      </c>
      <c r="B42" s="16">
        <f>IF(Calculations!$J42&gt;=0,Calculations!C42," ")</f>
        <v>0</v>
      </c>
      <c r="C42" s="16">
        <f>IF(Calculations!$J42&gt;=0,Calculations!D42," ")</f>
        <v>0</v>
      </c>
      <c r="D42" s="16">
        <f>IF(Calculations!$J42&gt;=0,Calculations!E42," ")</f>
        <v>146791.70063995852</v>
      </c>
      <c r="E42" s="16">
        <f>IF(Calculations!$J42&gt;=0,Calculations!F42," ")</f>
        <v>0</v>
      </c>
      <c r="F42" s="16">
        <f>IF(Calculations!$J42&gt;=0,Calculations!G42," ")</f>
        <v>1285905.5752476621</v>
      </c>
      <c r="G42" s="16">
        <f>IF(Calculations!$J42&gt;=0,Calculations!H42," ")</f>
        <v>77154.334514859729</v>
      </c>
      <c r="H42" s="16">
        <f>IF(Calculations!$J42&gt;=0,Calculations!I42," ")</f>
        <v>146791.70063995852</v>
      </c>
      <c r="I42" s="16">
        <f>IF(Calculations!$J42&gt;=0,Calculations!J42," ")</f>
        <v>1216268.2091225635</v>
      </c>
      <c r="J42" s="16">
        <f>IF(Calculations!$J42&gt;=0,Calculations!K42," ")</f>
        <v>-69637.366125098662</v>
      </c>
    </row>
    <row r="43" spans="1:10" x14ac:dyDescent="0.3">
      <c r="A43">
        <f>IF(Calculations!$J43&gt;=0,Calculations!B43," ")</f>
        <v>76</v>
      </c>
      <c r="B43" s="16">
        <f>IF(Calculations!$J43&gt;=0,Calculations!C43," ")</f>
        <v>0</v>
      </c>
      <c r="C43" s="16">
        <f>IF(Calculations!$J43&gt;=0,Calculations!D43," ")</f>
        <v>0</v>
      </c>
      <c r="D43" s="16">
        <f>IF(Calculations!$J43&gt;=0,Calculations!E43," ")</f>
        <v>151195.45165915729</v>
      </c>
      <c r="E43" s="16">
        <f>IF(Calculations!$J43&gt;=0,Calculations!F43," ")</f>
        <v>0</v>
      </c>
      <c r="F43" s="16">
        <f>IF(Calculations!$J43&gt;=0,Calculations!G43," ")</f>
        <v>1216268.2091225635</v>
      </c>
      <c r="G43" s="16">
        <f>IF(Calculations!$J43&gt;=0,Calculations!H43," ")</f>
        <v>72976.092547353808</v>
      </c>
      <c r="H43" s="16">
        <f>IF(Calculations!$J43&gt;=0,Calculations!I43," ")</f>
        <v>151195.45165915729</v>
      </c>
      <c r="I43" s="16">
        <f>IF(Calculations!$J43&gt;=0,Calculations!J43," ")</f>
        <v>1138048.8500107601</v>
      </c>
      <c r="J43" s="16">
        <f>IF(Calculations!$J43&gt;=0,Calculations!K43," ")</f>
        <v>-78219.359111803351</v>
      </c>
    </row>
    <row r="44" spans="1:10" x14ac:dyDescent="0.3">
      <c r="A44">
        <f>IF(Calculations!$J44&gt;=0,Calculations!B44," ")</f>
        <v>77</v>
      </c>
      <c r="B44" s="16">
        <f>IF(Calculations!$J44&gt;=0,Calculations!C44," ")</f>
        <v>0</v>
      </c>
      <c r="C44" s="16">
        <f>IF(Calculations!$J44&gt;=0,Calculations!D44," ")</f>
        <v>0</v>
      </c>
      <c r="D44" s="16">
        <f>IF(Calculations!$J44&gt;=0,Calculations!E44," ")</f>
        <v>155731.31520893201</v>
      </c>
      <c r="E44" s="16">
        <f>IF(Calculations!$J44&gt;=0,Calculations!F44," ")</f>
        <v>0</v>
      </c>
      <c r="F44" s="16">
        <f>IF(Calculations!$J44&gt;=0,Calculations!G44," ")</f>
        <v>1138048.8500107601</v>
      </c>
      <c r="G44" s="16">
        <f>IF(Calculations!$J44&gt;=0,Calculations!H44," ")</f>
        <v>68282.931000645607</v>
      </c>
      <c r="H44" s="16">
        <f>IF(Calculations!$J44&gt;=0,Calculations!I44," ")</f>
        <v>155731.31520893201</v>
      </c>
      <c r="I44" s="16">
        <f>IF(Calculations!$J44&gt;=0,Calculations!J44," ")</f>
        <v>1050600.4658024737</v>
      </c>
      <c r="J44" s="16">
        <f>IF(Calculations!$J44&gt;=0,Calculations!K44," ")</f>
        <v>-87448.384208286414</v>
      </c>
    </row>
    <row r="45" spans="1:10" x14ac:dyDescent="0.3">
      <c r="A45">
        <f>IF(Calculations!$J45&gt;=0,Calculations!B45," ")</f>
        <v>78</v>
      </c>
      <c r="B45" s="16">
        <f>IF(Calculations!$J45&gt;=0,Calculations!C45," ")</f>
        <v>0</v>
      </c>
      <c r="C45" s="16">
        <f>IF(Calculations!$J45&gt;=0,Calculations!D45," ")</f>
        <v>0</v>
      </c>
      <c r="D45" s="16">
        <f>IF(Calculations!$J45&gt;=0,Calculations!E45," ")</f>
        <v>160403.25466519996</v>
      </c>
      <c r="E45" s="16">
        <f>IF(Calculations!$J45&gt;=0,Calculations!F45," ")</f>
        <v>0</v>
      </c>
      <c r="F45" s="16">
        <f>IF(Calculations!$J45&gt;=0,Calculations!G45," ")</f>
        <v>1050600.4658024737</v>
      </c>
      <c r="G45" s="16">
        <f>IF(Calculations!$J45&gt;=0,Calculations!H45," ")</f>
        <v>63036.027948148418</v>
      </c>
      <c r="H45" s="16">
        <f>IF(Calculations!$J45&gt;=0,Calculations!I45," ")</f>
        <v>160403.25466519996</v>
      </c>
      <c r="I45" s="16">
        <f>IF(Calculations!$J45&gt;=0,Calculations!J45," ")</f>
        <v>953233.23908542213</v>
      </c>
      <c r="J45" s="16">
        <f>IF(Calculations!$J45&gt;=0,Calculations!K45," ")</f>
        <v>-97367.226717051584</v>
      </c>
    </row>
    <row r="46" spans="1:10" x14ac:dyDescent="0.3">
      <c r="A46">
        <f>IF(Calculations!$J46&gt;=0,Calculations!B46," ")</f>
        <v>79</v>
      </c>
      <c r="B46" s="16">
        <f>IF(Calculations!$J46&gt;=0,Calculations!C46," ")</f>
        <v>0</v>
      </c>
      <c r="C46" s="16">
        <f>IF(Calculations!$J46&gt;=0,Calculations!D46," ")</f>
        <v>0</v>
      </c>
      <c r="D46" s="16">
        <f>IF(Calculations!$J46&gt;=0,Calculations!E46," ")</f>
        <v>165215.35230515598</v>
      </c>
      <c r="E46" s="16">
        <f>IF(Calculations!$J46&gt;=0,Calculations!F46," ")</f>
        <v>0</v>
      </c>
      <c r="F46" s="16">
        <f>IF(Calculations!$J46&gt;=0,Calculations!G46," ")</f>
        <v>953233.23908542213</v>
      </c>
      <c r="G46" s="16">
        <f>IF(Calculations!$J46&gt;=0,Calculations!H46," ")</f>
        <v>57193.994345125328</v>
      </c>
      <c r="H46" s="16">
        <f>IF(Calculations!$J46&gt;=0,Calculations!I46," ")</f>
        <v>165215.35230515598</v>
      </c>
      <c r="I46" s="16">
        <f>IF(Calculations!$J46&gt;=0,Calculations!J46," ")</f>
        <v>845211.88112539146</v>
      </c>
      <c r="J46" s="16">
        <f>IF(Calculations!$J46&gt;=0,Calculations!K46," ")</f>
        <v>-108021.35796003067</v>
      </c>
    </row>
    <row r="47" spans="1:10" x14ac:dyDescent="0.3">
      <c r="A47">
        <f>IF(Calculations!$J47&gt;=0,Calculations!B47," ")</f>
        <v>80</v>
      </c>
      <c r="B47" s="16">
        <f>IF(Calculations!$J47&gt;=0,Calculations!C47," ")</f>
        <v>0</v>
      </c>
      <c r="C47" s="16">
        <f>IF(Calculations!$J47&gt;=0,Calculations!D47," ")</f>
        <v>0</v>
      </c>
      <c r="D47" s="16">
        <f>IF(Calculations!$J47&gt;=0,Calculations!E47," ")</f>
        <v>170171.81287431065</v>
      </c>
      <c r="E47" s="16">
        <f>IF(Calculations!$J47&gt;=0,Calculations!F47," ")</f>
        <v>0</v>
      </c>
      <c r="F47" s="16">
        <f>IF(Calculations!$J47&gt;=0,Calculations!G47," ")</f>
        <v>845211.88112539146</v>
      </c>
      <c r="G47" s="16">
        <f>IF(Calculations!$J47&gt;=0,Calculations!H47," ")</f>
        <v>50712.712867523485</v>
      </c>
      <c r="H47" s="16">
        <f>IF(Calculations!$J47&gt;=0,Calculations!I47," ")</f>
        <v>170171.81287431065</v>
      </c>
      <c r="I47" s="16">
        <f>IF(Calculations!$J47&gt;=0,Calculations!J47," ")</f>
        <v>725752.78111860435</v>
      </c>
      <c r="J47" s="16">
        <f>IF(Calculations!$J47&gt;=0,Calculations!K47," ")</f>
        <v>-119459.10000678711</v>
      </c>
    </row>
    <row r="48" spans="1:10" x14ac:dyDescent="0.3">
      <c r="A48">
        <f>IF(Calculations!$J48&gt;=0,Calculations!B48," ")</f>
        <v>81</v>
      </c>
      <c r="B48" s="16">
        <f>IF(Calculations!$J48&gt;=0,Calculations!C48," ")</f>
        <v>0</v>
      </c>
      <c r="C48" s="16">
        <f>IF(Calculations!$J48&gt;=0,Calculations!D48," ")</f>
        <v>0</v>
      </c>
      <c r="D48" s="16">
        <f>IF(Calculations!$J48&gt;=0,Calculations!E48," ")</f>
        <v>175276.96726053997</v>
      </c>
      <c r="E48" s="16">
        <f>IF(Calculations!$J48&gt;=0,Calculations!F48," ")</f>
        <v>0</v>
      </c>
      <c r="F48" s="16">
        <f>IF(Calculations!$J48&gt;=0,Calculations!G48," ")</f>
        <v>725752.78111860435</v>
      </c>
      <c r="G48" s="16">
        <f>IF(Calculations!$J48&gt;=0,Calculations!H48," ")</f>
        <v>43545.166867116262</v>
      </c>
      <c r="H48" s="16">
        <f>IF(Calculations!$J48&gt;=0,Calculations!I48," ")</f>
        <v>175276.96726053997</v>
      </c>
      <c r="I48" s="16">
        <f>IF(Calculations!$J48&gt;=0,Calculations!J48," ")</f>
        <v>594020.98072518059</v>
      </c>
      <c r="J48" s="16">
        <f>IF(Calculations!$J48&gt;=0,Calculations!K48," ")</f>
        <v>-131731.80039342376</v>
      </c>
    </row>
    <row r="49" spans="1:10" x14ac:dyDescent="0.3">
      <c r="A49">
        <f>IF(Calculations!$J49&gt;=0,Calculations!B49," ")</f>
        <v>82</v>
      </c>
      <c r="B49" s="16">
        <f>IF(Calculations!$J49&gt;=0,Calculations!C49," ")</f>
        <v>0</v>
      </c>
      <c r="C49" s="16">
        <f>IF(Calculations!$J49&gt;=0,Calculations!D49," ")</f>
        <v>0</v>
      </c>
      <c r="D49" s="16">
        <f>IF(Calculations!$J49&gt;=0,Calculations!E49," ")</f>
        <v>180535.27627835618</v>
      </c>
      <c r="E49" s="16">
        <f>IF(Calculations!$J49&gt;=0,Calculations!F49," ")</f>
        <v>0</v>
      </c>
      <c r="F49" s="16">
        <f>IF(Calculations!$J49&gt;=0,Calculations!G49," ")</f>
        <v>594020.98072518059</v>
      </c>
      <c r="G49" s="16">
        <f>IF(Calculations!$J49&gt;=0,Calculations!H49," ")</f>
        <v>35641.258843510834</v>
      </c>
      <c r="H49" s="16">
        <f>IF(Calculations!$J49&gt;=0,Calculations!I49," ")</f>
        <v>180535.27627835618</v>
      </c>
      <c r="I49" s="16">
        <f>IF(Calculations!$J49&gt;=0,Calculations!J49," ")</f>
        <v>449126.96329033526</v>
      </c>
      <c r="J49" s="16">
        <f>IF(Calculations!$J49&gt;=0,Calculations!K49," ")</f>
        <v>-144894.01743484533</v>
      </c>
    </row>
    <row r="50" spans="1:10" x14ac:dyDescent="0.3">
      <c r="A50">
        <f>IF(Calculations!$J50&gt;=0,Calculations!B50," ")</f>
        <v>83</v>
      </c>
      <c r="B50" s="16">
        <f>IF(Calculations!$J50&gt;=0,Calculations!C50," ")</f>
        <v>0</v>
      </c>
      <c r="C50" s="16">
        <f>IF(Calculations!$J50&gt;=0,Calculations!D50," ")</f>
        <v>0</v>
      </c>
      <c r="D50" s="16">
        <f>IF(Calculations!$J50&gt;=0,Calculations!E50," ")</f>
        <v>185951.33456670688</v>
      </c>
      <c r="E50" s="16">
        <f>IF(Calculations!$J50&gt;=0,Calculations!F50," ")</f>
        <v>0</v>
      </c>
      <c r="F50" s="16">
        <f>IF(Calculations!$J50&gt;=0,Calculations!G50," ")</f>
        <v>449126.96329033526</v>
      </c>
      <c r="G50" s="16">
        <f>IF(Calculations!$J50&gt;=0,Calculations!H50," ")</f>
        <v>26947.617797420116</v>
      </c>
      <c r="H50" s="16">
        <f>IF(Calculations!$J50&gt;=0,Calculations!I50," ")</f>
        <v>185951.33456670688</v>
      </c>
      <c r="I50" s="16">
        <f>IF(Calculations!$J50&gt;=0,Calculations!J50," ")</f>
        <v>290123.24652104848</v>
      </c>
      <c r="J50" s="16">
        <f>IF(Calculations!$J50&gt;=0,Calculations!K50," ")</f>
        <v>-159003.71676928678</v>
      </c>
    </row>
    <row r="51" spans="1:10" x14ac:dyDescent="0.3">
      <c r="A51">
        <f>IF(Calculations!$J51&gt;=0,Calculations!B51," ")</f>
        <v>84</v>
      </c>
      <c r="B51" s="16">
        <f>IF(Calculations!$J51&gt;=0,Calculations!C51," ")</f>
        <v>0</v>
      </c>
      <c r="C51" s="16">
        <f>IF(Calculations!$J51&gt;=0,Calculations!D51," ")</f>
        <v>0</v>
      </c>
      <c r="D51" s="16">
        <f>IF(Calculations!$J51&gt;=0,Calculations!E51," ")</f>
        <v>191529.8746037081</v>
      </c>
      <c r="E51" s="16">
        <f>IF(Calculations!$J51&gt;=0,Calculations!F51," ")</f>
        <v>0</v>
      </c>
      <c r="F51" s="16">
        <f>IF(Calculations!$J51&gt;=0,Calculations!G51," ")</f>
        <v>290123.24652104848</v>
      </c>
      <c r="G51" s="16">
        <f>IF(Calculations!$J51&gt;=0,Calculations!H51," ")</f>
        <v>17407.394791262908</v>
      </c>
      <c r="H51" s="16">
        <f>IF(Calculations!$J51&gt;=0,Calculations!I51," ")</f>
        <v>191529.8746037081</v>
      </c>
      <c r="I51" s="16">
        <f>IF(Calculations!$J51&gt;=0,Calculations!J51," ")</f>
        <v>116000.7667086033</v>
      </c>
      <c r="J51" s="16">
        <f>IF(Calculations!$J51&gt;=0,Calculations!K51," ")</f>
        <v>-174122.47981244518</v>
      </c>
    </row>
    <row r="52" spans="1:10" x14ac:dyDescent="0.3">
      <c r="A52" t="str">
        <f>IF(Calculations!$J52&gt;=0,Calculations!B52," ")</f>
        <v xml:space="preserve"> </v>
      </c>
      <c r="B52" s="16" t="str">
        <f>IF(Calculations!$J52&gt;=0,Calculations!C52," ")</f>
        <v xml:space="preserve"> </v>
      </c>
      <c r="C52" s="16" t="str">
        <f>IF(Calculations!$J52&gt;=0,Calculations!D52," ")</f>
        <v xml:space="preserve"> </v>
      </c>
      <c r="D52" s="16" t="str">
        <f>IF(Calculations!$J52&gt;=0,Calculations!E52," ")</f>
        <v xml:space="preserve"> </v>
      </c>
      <c r="E52" s="16" t="str">
        <f>IF(Calculations!$J52&gt;=0,Calculations!F52," ")</f>
        <v xml:space="preserve"> </v>
      </c>
      <c r="F52" s="16" t="str">
        <f>IF(Calculations!$J52&gt;=0,Calculations!G52," ")</f>
        <v xml:space="preserve"> </v>
      </c>
      <c r="G52" s="16" t="str">
        <f>IF(Calculations!$J52&gt;=0,Calculations!H52," ")</f>
        <v xml:space="preserve"> </v>
      </c>
      <c r="H52" s="16" t="str">
        <f>IF(Calculations!$J52&gt;=0,Calculations!I52," ")</f>
        <v xml:space="preserve"> </v>
      </c>
      <c r="I52" s="16" t="str">
        <f>IF(Calculations!$J52&gt;=0,Calculations!J52," ")</f>
        <v xml:space="preserve"> </v>
      </c>
      <c r="J52" s="16" t="str">
        <f>IF(Calculations!$J52&gt;=0,Calculations!K52," ")</f>
        <v xml:space="preserve"> </v>
      </c>
    </row>
    <row r="53" spans="1:10" x14ac:dyDescent="0.3">
      <c r="A53" t="str">
        <f>IF(Calculations!$J53&gt;=0,Calculations!B53," ")</f>
        <v xml:space="preserve"> </v>
      </c>
      <c r="B53" s="16" t="str">
        <f>IF(Calculations!$J53&gt;=0,Calculations!C53," ")</f>
        <v xml:space="preserve"> </v>
      </c>
      <c r="C53" s="16" t="str">
        <f>IF(Calculations!$J53&gt;=0,Calculations!D53," ")</f>
        <v xml:space="preserve"> </v>
      </c>
      <c r="D53" s="16" t="str">
        <f>IF(Calculations!$J53&gt;=0,Calculations!E53," ")</f>
        <v xml:space="preserve"> </v>
      </c>
      <c r="E53" s="16" t="str">
        <f>IF(Calculations!$J53&gt;=0,Calculations!F53," ")</f>
        <v xml:space="preserve"> </v>
      </c>
      <c r="F53" s="16" t="str">
        <f>IF(Calculations!$J53&gt;=0,Calculations!G53," ")</f>
        <v xml:space="preserve"> </v>
      </c>
      <c r="G53" s="16" t="str">
        <f>IF(Calculations!$J53&gt;=0,Calculations!H53," ")</f>
        <v xml:space="preserve"> </v>
      </c>
      <c r="H53" s="16" t="str">
        <f>IF(Calculations!$J53&gt;=0,Calculations!I53," ")</f>
        <v xml:space="preserve"> </v>
      </c>
      <c r="I53" s="16" t="str">
        <f>IF(Calculations!$J53&gt;=0,Calculations!J53," ")</f>
        <v xml:space="preserve"> </v>
      </c>
      <c r="J53" s="16" t="str">
        <f>IF(Calculations!$J53&gt;=0,Calculations!K53," ")</f>
        <v xml:space="preserve"> </v>
      </c>
    </row>
    <row r="54" spans="1:10" x14ac:dyDescent="0.3">
      <c r="A54" t="str">
        <f>IF(Calculations!$J54&gt;=0,Calculations!B54," ")</f>
        <v xml:space="preserve"> </v>
      </c>
      <c r="B54" s="16" t="str">
        <f>IF(Calculations!$J54&gt;=0,Calculations!C54," ")</f>
        <v xml:space="preserve"> </v>
      </c>
      <c r="C54" s="16" t="str">
        <f>IF(Calculations!$J54&gt;=0,Calculations!D54," ")</f>
        <v xml:space="preserve"> </v>
      </c>
      <c r="D54" s="16" t="str">
        <f>IF(Calculations!$J54&gt;=0,Calculations!E54," ")</f>
        <v xml:space="preserve"> </v>
      </c>
      <c r="E54" s="16" t="str">
        <f>IF(Calculations!$J54&gt;=0,Calculations!F54," ")</f>
        <v xml:space="preserve"> </v>
      </c>
      <c r="F54" s="16" t="str">
        <f>IF(Calculations!$J54&gt;=0,Calculations!G54," ")</f>
        <v xml:space="preserve"> </v>
      </c>
      <c r="G54" s="16" t="str">
        <f>IF(Calculations!$J54&gt;=0,Calculations!H54," ")</f>
        <v xml:space="preserve"> </v>
      </c>
      <c r="H54" s="16" t="str">
        <f>IF(Calculations!$J54&gt;=0,Calculations!I54," ")</f>
        <v xml:space="preserve"> </v>
      </c>
      <c r="I54" s="16" t="str">
        <f>IF(Calculations!$J54&gt;=0,Calculations!J54," ")</f>
        <v xml:space="preserve"> </v>
      </c>
      <c r="J54" s="16" t="str">
        <f>IF(Calculations!$J54&gt;=0,Calculations!K54," ")</f>
        <v xml:space="preserve"> </v>
      </c>
    </row>
    <row r="55" spans="1:10" x14ac:dyDescent="0.3">
      <c r="A55" t="str">
        <f>IF(Calculations!$J55&gt;=0,Calculations!B55," ")</f>
        <v xml:space="preserve"> </v>
      </c>
      <c r="B55" s="16" t="str">
        <f>IF(Calculations!$J55&gt;=0,Calculations!C55," ")</f>
        <v xml:space="preserve"> </v>
      </c>
      <c r="C55" s="16" t="str">
        <f>IF(Calculations!$J55&gt;=0,Calculations!D55," ")</f>
        <v xml:space="preserve"> </v>
      </c>
      <c r="D55" s="16" t="str">
        <f>IF(Calculations!$J55&gt;=0,Calculations!E55," ")</f>
        <v xml:space="preserve"> </v>
      </c>
      <c r="E55" s="16" t="str">
        <f>IF(Calculations!$J55&gt;=0,Calculations!F55," ")</f>
        <v xml:space="preserve"> </v>
      </c>
      <c r="F55" s="16" t="str">
        <f>IF(Calculations!$J55&gt;=0,Calculations!G55," ")</f>
        <v xml:space="preserve"> </v>
      </c>
      <c r="G55" s="16" t="str">
        <f>IF(Calculations!$J55&gt;=0,Calculations!H55," ")</f>
        <v xml:space="preserve"> </v>
      </c>
      <c r="H55" s="16" t="str">
        <f>IF(Calculations!$J55&gt;=0,Calculations!I55," ")</f>
        <v xml:space="preserve"> </v>
      </c>
      <c r="I55" s="16" t="str">
        <f>IF(Calculations!$J55&gt;=0,Calculations!J55," ")</f>
        <v xml:space="preserve"> </v>
      </c>
      <c r="J55" s="16" t="str">
        <f>IF(Calculations!$J55&gt;=0,Calculations!K55," ")</f>
        <v xml:space="preserve"> </v>
      </c>
    </row>
    <row r="56" spans="1:10" x14ac:dyDescent="0.3">
      <c r="A56" t="str">
        <f>IF(Calculations!$J56&gt;=0,Calculations!B56," ")</f>
        <v xml:space="preserve"> </v>
      </c>
      <c r="B56" s="16" t="str">
        <f>IF(Calculations!$J56&gt;=0,Calculations!C56," ")</f>
        <v xml:space="preserve"> </v>
      </c>
      <c r="C56" s="16" t="str">
        <f>IF(Calculations!$J56&gt;=0,Calculations!D56," ")</f>
        <v xml:space="preserve"> </v>
      </c>
      <c r="D56" s="16" t="str">
        <f>IF(Calculations!$J56&gt;=0,Calculations!E56," ")</f>
        <v xml:space="preserve"> </v>
      </c>
      <c r="E56" s="16" t="str">
        <f>IF(Calculations!$J56&gt;=0,Calculations!F56," ")</f>
        <v xml:space="preserve"> </v>
      </c>
      <c r="F56" s="16" t="str">
        <f>IF(Calculations!$J56&gt;=0,Calculations!G56," ")</f>
        <v xml:space="preserve"> </v>
      </c>
      <c r="G56" s="16" t="str">
        <f>IF(Calculations!$J56&gt;=0,Calculations!H56," ")</f>
        <v xml:space="preserve"> </v>
      </c>
      <c r="H56" s="16" t="str">
        <f>IF(Calculations!$J56&gt;=0,Calculations!I56," ")</f>
        <v xml:space="preserve"> </v>
      </c>
      <c r="I56" s="16" t="str">
        <f>IF(Calculations!$J56&gt;=0,Calculations!J56," ")</f>
        <v xml:space="preserve"> </v>
      </c>
      <c r="J56" s="16" t="str">
        <f>IF(Calculations!$J56&gt;=0,Calculations!K56," ")</f>
        <v xml:space="preserve"> </v>
      </c>
    </row>
    <row r="57" spans="1:10" x14ac:dyDescent="0.3">
      <c r="A57" t="str">
        <f>IF(Calculations!$J57&gt;=0,Calculations!B57," ")</f>
        <v xml:space="preserve"> </v>
      </c>
      <c r="B57" s="16" t="str">
        <f>IF(Calculations!$J57&gt;=0,Calculations!C57," ")</f>
        <v xml:space="preserve"> </v>
      </c>
      <c r="C57" s="16" t="str">
        <f>IF(Calculations!$J57&gt;=0,Calculations!D57," ")</f>
        <v xml:space="preserve"> </v>
      </c>
      <c r="D57" s="16" t="str">
        <f>IF(Calculations!$J57&gt;=0,Calculations!E57," ")</f>
        <v xml:space="preserve"> </v>
      </c>
      <c r="E57" s="16" t="str">
        <f>IF(Calculations!$J57&gt;=0,Calculations!F57," ")</f>
        <v xml:space="preserve"> </v>
      </c>
      <c r="F57" s="16" t="str">
        <f>IF(Calculations!$J57&gt;=0,Calculations!G57," ")</f>
        <v xml:space="preserve"> </v>
      </c>
      <c r="G57" s="16" t="str">
        <f>IF(Calculations!$J57&gt;=0,Calculations!H57," ")</f>
        <v xml:space="preserve"> </v>
      </c>
      <c r="H57" s="16" t="str">
        <f>IF(Calculations!$J57&gt;=0,Calculations!I57," ")</f>
        <v xml:space="preserve"> </v>
      </c>
      <c r="I57" s="16" t="str">
        <f>IF(Calculations!$J57&gt;=0,Calculations!J57," ")</f>
        <v xml:space="preserve"> </v>
      </c>
      <c r="J57" s="16" t="str">
        <f>IF(Calculations!$J57&gt;=0,Calculations!K57," ")</f>
        <v xml:space="preserve"> </v>
      </c>
    </row>
    <row r="58" spans="1:10" x14ac:dyDescent="0.3">
      <c r="A58" t="str">
        <f>IF(Calculations!$J58&gt;=0,Calculations!B58," ")</f>
        <v xml:space="preserve"> </v>
      </c>
      <c r="B58" s="16" t="str">
        <f>IF(Calculations!$J58&gt;=0,Calculations!C58," ")</f>
        <v xml:space="preserve"> </v>
      </c>
      <c r="C58" s="16" t="str">
        <f>IF(Calculations!$J58&gt;=0,Calculations!D58," ")</f>
        <v xml:space="preserve"> </v>
      </c>
      <c r="D58" s="16" t="str">
        <f>IF(Calculations!$J58&gt;=0,Calculations!E58," ")</f>
        <v xml:space="preserve"> </v>
      </c>
      <c r="E58" s="16" t="str">
        <f>IF(Calculations!$J58&gt;=0,Calculations!F58," ")</f>
        <v xml:space="preserve"> </v>
      </c>
      <c r="F58" s="16" t="str">
        <f>IF(Calculations!$J58&gt;=0,Calculations!G58," ")</f>
        <v xml:space="preserve"> </v>
      </c>
      <c r="G58" s="16" t="str">
        <f>IF(Calculations!$J58&gt;=0,Calculations!H58," ")</f>
        <v xml:space="preserve"> </v>
      </c>
      <c r="H58" s="16" t="str">
        <f>IF(Calculations!$J58&gt;=0,Calculations!I58," ")</f>
        <v xml:space="preserve"> </v>
      </c>
      <c r="I58" s="16" t="str">
        <f>IF(Calculations!$J58&gt;=0,Calculations!J58," ")</f>
        <v xml:space="preserve"> </v>
      </c>
      <c r="J58" s="16" t="str">
        <f>IF(Calculations!$J58&gt;=0,Calculations!K58," ")</f>
        <v xml:space="preserve"> 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C28CB-7E33-4029-B08A-0FFDD1195B76}">
  <sheetPr codeName="Sheet2"/>
  <dimension ref="A1:K101"/>
  <sheetViews>
    <sheetView workbookViewId="0">
      <pane ySplit="1" topLeftCell="A44" activePane="bottomLeft" state="frozen"/>
      <selection pane="bottomLeft" activeCell="A51" sqref="A51:XFD51"/>
    </sheetView>
  </sheetViews>
  <sheetFormatPr defaultRowHeight="14.4" x14ac:dyDescent="0.3"/>
  <cols>
    <col min="1" max="1" width="8.77734375" customWidth="1"/>
    <col min="2" max="2" width="5.88671875" customWidth="1"/>
    <col min="3" max="3" width="16.109375" style="10" customWidth="1"/>
    <col min="4" max="4" width="13.77734375" style="10" customWidth="1"/>
    <col min="5" max="5" width="18.44140625" style="10" customWidth="1"/>
    <col min="6" max="6" width="15.33203125" style="10" customWidth="1"/>
    <col min="7" max="7" width="24.109375" style="10" customWidth="1"/>
    <col min="8" max="8" width="15.21875" style="10" customWidth="1"/>
    <col min="9" max="9" width="27.33203125" style="10" customWidth="1"/>
    <col min="10" max="10" width="19.21875" style="10" customWidth="1"/>
    <col min="11" max="11" width="21.109375" style="10" customWidth="1"/>
  </cols>
  <sheetData>
    <row r="1" spans="1:11" x14ac:dyDescent="0.3">
      <c r="A1" s="1" t="s">
        <v>2</v>
      </c>
      <c r="B1" s="1" t="s">
        <v>0</v>
      </c>
      <c r="C1" s="9" t="s">
        <v>3</v>
      </c>
      <c r="D1" s="9" t="s">
        <v>9</v>
      </c>
      <c r="E1" s="9" t="s">
        <v>7</v>
      </c>
      <c r="F1" s="9" t="s">
        <v>6</v>
      </c>
      <c r="G1" s="9" t="s">
        <v>22</v>
      </c>
      <c r="H1" s="9" t="s">
        <v>4</v>
      </c>
      <c r="I1" s="9" t="s">
        <v>29</v>
      </c>
      <c r="J1" s="9" t="s">
        <v>5</v>
      </c>
      <c r="K1" s="9" t="s">
        <v>8</v>
      </c>
    </row>
    <row r="2" spans="1:11" x14ac:dyDescent="0.3">
      <c r="A2">
        <v>1</v>
      </c>
      <c r="B2">
        <f>current_age</f>
        <v>35</v>
      </c>
      <c r="C2" s="10">
        <f>IF(B2&lt;retirement_age,current_annual_income,0)</f>
        <v>70000</v>
      </c>
      <c r="D2" s="10">
        <f t="shared" ref="D2:D33" si="0">C2*tax_rate</f>
        <v>15400</v>
      </c>
      <c r="E2" s="10">
        <f>current_annual_expenses</f>
        <v>45000</v>
      </c>
      <c r="F2" s="10">
        <f t="shared" ref="F2:F33" si="1">IF($B2&lt;retirement_age,C2-D2-E2,0)</f>
        <v>9600</v>
      </c>
      <c r="G2" s="10">
        <f>current_retirement_savings</f>
        <v>30000</v>
      </c>
      <c r="H2" s="10">
        <f t="shared" ref="H2:H33" si="2">IF(B2&lt;retirement_age,G2*investment_return_pre,G2*investment_return_post)</f>
        <v>2400</v>
      </c>
      <c r="I2" s="10">
        <f t="shared" ref="I2:I33" si="3">IF($B2&lt;retirement_age,0,E2)</f>
        <v>0</v>
      </c>
      <c r="J2" s="10">
        <f>G2+H2+F2-I2</f>
        <v>42000</v>
      </c>
      <c r="K2" s="10">
        <f>J2-G2</f>
        <v>12000</v>
      </c>
    </row>
    <row r="3" spans="1:11" x14ac:dyDescent="0.3">
      <c r="A3">
        <f>A2+1</f>
        <v>2</v>
      </c>
      <c r="B3">
        <f>B2+1</f>
        <v>36</v>
      </c>
      <c r="C3" s="10">
        <f t="shared" ref="C3:C34" si="4">IF($B3&lt;retirement_age,C2*(1+annual_income_increase),0)</f>
        <v>72800</v>
      </c>
      <c r="D3" s="10">
        <f t="shared" si="0"/>
        <v>16016</v>
      </c>
      <c r="E3" s="10">
        <f t="shared" ref="E3:E34" si="5">E2*(1+annual_inflation)</f>
        <v>46350</v>
      </c>
      <c r="F3" s="10">
        <f t="shared" si="1"/>
        <v>10434</v>
      </c>
      <c r="G3" s="10">
        <f>J2</f>
        <v>42000</v>
      </c>
      <c r="H3" s="10">
        <f t="shared" si="2"/>
        <v>3360</v>
      </c>
      <c r="I3" s="10">
        <f t="shared" si="3"/>
        <v>0</v>
      </c>
      <c r="J3" s="10">
        <f t="shared" ref="J3:J66" si="6">G3+H3+F3-I3</f>
        <v>55794</v>
      </c>
      <c r="K3" s="10">
        <f t="shared" ref="K3:K66" si="7">J3-G3</f>
        <v>13794</v>
      </c>
    </row>
    <row r="4" spans="1:11" x14ac:dyDescent="0.3">
      <c r="A4">
        <f>A3+1</f>
        <v>3</v>
      </c>
      <c r="B4">
        <f t="shared" ref="B4:B67" si="8">B3+1</f>
        <v>37</v>
      </c>
      <c r="C4" s="10">
        <f t="shared" si="4"/>
        <v>75712</v>
      </c>
      <c r="D4" s="10">
        <f t="shared" si="0"/>
        <v>16656.64</v>
      </c>
      <c r="E4" s="10">
        <f t="shared" si="5"/>
        <v>47740.5</v>
      </c>
      <c r="F4" s="10">
        <f t="shared" si="1"/>
        <v>11314.86</v>
      </c>
      <c r="G4" s="10">
        <f>J3</f>
        <v>55794</v>
      </c>
      <c r="H4" s="10">
        <f t="shared" si="2"/>
        <v>4463.5200000000004</v>
      </c>
      <c r="I4" s="10">
        <f t="shared" si="3"/>
        <v>0</v>
      </c>
      <c r="J4" s="10">
        <f t="shared" si="6"/>
        <v>71572.38</v>
      </c>
      <c r="K4" s="10">
        <f t="shared" si="7"/>
        <v>15778.380000000005</v>
      </c>
    </row>
    <row r="5" spans="1:11" x14ac:dyDescent="0.3">
      <c r="A5">
        <f t="shared" ref="A5:A68" si="9">A4+1</f>
        <v>4</v>
      </c>
      <c r="B5">
        <f t="shared" si="8"/>
        <v>38</v>
      </c>
      <c r="C5" s="10">
        <f t="shared" si="4"/>
        <v>78740.479999999996</v>
      </c>
      <c r="D5" s="10">
        <f t="shared" si="0"/>
        <v>17322.905599999998</v>
      </c>
      <c r="E5" s="10">
        <f t="shared" si="5"/>
        <v>49172.715000000004</v>
      </c>
      <c r="F5" s="10">
        <f t="shared" si="1"/>
        <v>12244.859399999994</v>
      </c>
      <c r="G5" s="10">
        <f t="shared" ref="G5:G68" si="10">J4</f>
        <v>71572.38</v>
      </c>
      <c r="H5" s="10">
        <f t="shared" si="2"/>
        <v>5725.7904000000008</v>
      </c>
      <c r="I5" s="10">
        <f t="shared" si="3"/>
        <v>0</v>
      </c>
      <c r="J5" s="10">
        <f t="shared" si="6"/>
        <v>89543.029799999989</v>
      </c>
      <c r="K5" s="10">
        <f t="shared" si="7"/>
        <v>17970.649799999985</v>
      </c>
    </row>
    <row r="6" spans="1:11" x14ac:dyDescent="0.3">
      <c r="A6">
        <f t="shared" si="9"/>
        <v>5</v>
      </c>
      <c r="B6">
        <f t="shared" si="8"/>
        <v>39</v>
      </c>
      <c r="C6" s="10">
        <f t="shared" si="4"/>
        <v>81890.099199999997</v>
      </c>
      <c r="D6" s="10">
        <f t="shared" si="0"/>
        <v>18015.821823999999</v>
      </c>
      <c r="E6" s="10">
        <f t="shared" si="5"/>
        <v>50647.896450000007</v>
      </c>
      <c r="F6" s="10">
        <f t="shared" si="1"/>
        <v>13226.380925999991</v>
      </c>
      <c r="G6" s="10">
        <f t="shared" si="10"/>
        <v>89543.029799999989</v>
      </c>
      <c r="H6" s="10">
        <f t="shared" si="2"/>
        <v>7163.442383999999</v>
      </c>
      <c r="I6" s="10">
        <f t="shared" si="3"/>
        <v>0</v>
      </c>
      <c r="J6" s="10">
        <f t="shared" si="6"/>
        <v>109932.85310999997</v>
      </c>
      <c r="K6" s="10">
        <f t="shared" si="7"/>
        <v>20389.823309999978</v>
      </c>
    </row>
    <row r="7" spans="1:11" x14ac:dyDescent="0.3">
      <c r="A7">
        <f t="shared" si="9"/>
        <v>6</v>
      </c>
      <c r="B7">
        <f t="shared" si="8"/>
        <v>40</v>
      </c>
      <c r="C7" s="10">
        <f t="shared" si="4"/>
        <v>85165.703167999993</v>
      </c>
      <c r="D7" s="10">
        <f t="shared" si="0"/>
        <v>18736.454696959998</v>
      </c>
      <c r="E7" s="10">
        <f t="shared" si="5"/>
        <v>52167.33334350001</v>
      </c>
      <c r="F7" s="10">
        <f t="shared" si="1"/>
        <v>14261.915127539978</v>
      </c>
      <c r="G7" s="10">
        <f t="shared" si="10"/>
        <v>109932.85310999997</v>
      </c>
      <c r="H7" s="10">
        <f t="shared" si="2"/>
        <v>8794.6282487999979</v>
      </c>
      <c r="I7" s="10">
        <f t="shared" si="3"/>
        <v>0</v>
      </c>
      <c r="J7" s="10">
        <f t="shared" si="6"/>
        <v>132989.39648633995</v>
      </c>
      <c r="K7" s="10">
        <f t="shared" si="7"/>
        <v>23056.543376339978</v>
      </c>
    </row>
    <row r="8" spans="1:11" x14ac:dyDescent="0.3">
      <c r="A8">
        <f t="shared" si="9"/>
        <v>7</v>
      </c>
      <c r="B8">
        <f t="shared" si="8"/>
        <v>41</v>
      </c>
      <c r="C8" s="10">
        <f t="shared" si="4"/>
        <v>88572.331294719988</v>
      </c>
      <c r="D8" s="10">
        <f t="shared" si="0"/>
        <v>19485.912884838399</v>
      </c>
      <c r="E8" s="10">
        <f t="shared" si="5"/>
        <v>53732.353343805014</v>
      </c>
      <c r="F8" s="10">
        <f t="shared" si="1"/>
        <v>15354.065066076575</v>
      </c>
      <c r="G8" s="10">
        <f t="shared" si="10"/>
        <v>132989.39648633995</v>
      </c>
      <c r="H8" s="10">
        <f t="shared" si="2"/>
        <v>10639.151718907196</v>
      </c>
      <c r="I8" s="10">
        <f t="shared" si="3"/>
        <v>0</v>
      </c>
      <c r="J8" s="10">
        <f t="shared" si="6"/>
        <v>158982.61327132373</v>
      </c>
      <c r="K8" s="10">
        <f t="shared" si="7"/>
        <v>25993.216784983786</v>
      </c>
    </row>
    <row r="9" spans="1:11" x14ac:dyDescent="0.3">
      <c r="A9">
        <f t="shared" si="9"/>
        <v>8</v>
      </c>
      <c r="B9">
        <f t="shared" si="8"/>
        <v>42</v>
      </c>
      <c r="C9" s="10">
        <f t="shared" si="4"/>
        <v>92115.224546508791</v>
      </c>
      <c r="D9" s="10">
        <f t="shared" si="0"/>
        <v>20265.349400231935</v>
      </c>
      <c r="E9" s="10">
        <f t="shared" si="5"/>
        <v>55344.323944119169</v>
      </c>
      <c r="F9" s="10">
        <f t="shared" si="1"/>
        <v>16505.551202157687</v>
      </c>
      <c r="G9" s="10">
        <f t="shared" si="10"/>
        <v>158982.61327132373</v>
      </c>
      <c r="H9" s="10">
        <f t="shared" si="2"/>
        <v>12718.609061705898</v>
      </c>
      <c r="I9" s="10">
        <f t="shared" si="3"/>
        <v>0</v>
      </c>
      <c r="J9" s="10">
        <f t="shared" si="6"/>
        <v>188206.77353518733</v>
      </c>
      <c r="K9" s="10">
        <f t="shared" si="7"/>
        <v>29224.160263863596</v>
      </c>
    </row>
    <row r="10" spans="1:11" x14ac:dyDescent="0.3">
      <c r="A10">
        <f t="shared" si="9"/>
        <v>9</v>
      </c>
      <c r="B10">
        <f t="shared" si="8"/>
        <v>43</v>
      </c>
      <c r="C10" s="10">
        <f t="shared" si="4"/>
        <v>95799.833528369141</v>
      </c>
      <c r="D10" s="10">
        <f t="shared" si="0"/>
        <v>21075.963376241212</v>
      </c>
      <c r="E10" s="10">
        <f t="shared" si="5"/>
        <v>57004.653662442746</v>
      </c>
      <c r="F10" s="10">
        <f t="shared" si="1"/>
        <v>17719.216489685183</v>
      </c>
      <c r="G10" s="10">
        <f t="shared" si="10"/>
        <v>188206.77353518733</v>
      </c>
      <c r="H10" s="10">
        <f t="shared" si="2"/>
        <v>15056.541882814987</v>
      </c>
      <c r="I10" s="10">
        <f t="shared" si="3"/>
        <v>0</v>
      </c>
      <c r="J10" s="10">
        <f t="shared" si="6"/>
        <v>220982.53190768749</v>
      </c>
      <c r="K10" s="10">
        <f t="shared" si="7"/>
        <v>32775.75837250016</v>
      </c>
    </row>
    <row r="11" spans="1:11" x14ac:dyDescent="0.3">
      <c r="A11">
        <f t="shared" si="9"/>
        <v>10</v>
      </c>
      <c r="B11">
        <f t="shared" si="8"/>
        <v>44</v>
      </c>
      <c r="C11" s="10">
        <f t="shared" si="4"/>
        <v>99631.826869503915</v>
      </c>
      <c r="D11" s="10">
        <f t="shared" si="0"/>
        <v>21919.001911290863</v>
      </c>
      <c r="E11" s="10">
        <f t="shared" si="5"/>
        <v>58714.793272316027</v>
      </c>
      <c r="F11" s="10">
        <f t="shared" si="1"/>
        <v>18998.031685897025</v>
      </c>
      <c r="G11" s="10">
        <f t="shared" si="10"/>
        <v>220982.53190768749</v>
      </c>
      <c r="H11" s="10">
        <f t="shared" si="2"/>
        <v>17678.602552615001</v>
      </c>
      <c r="I11" s="10">
        <f t="shared" si="3"/>
        <v>0</v>
      </c>
      <c r="J11" s="10">
        <f t="shared" si="6"/>
        <v>257659.16614619951</v>
      </c>
      <c r="K11" s="10">
        <f t="shared" si="7"/>
        <v>36676.634238512022</v>
      </c>
    </row>
    <row r="12" spans="1:11" x14ac:dyDescent="0.3">
      <c r="A12">
        <f t="shared" si="9"/>
        <v>11</v>
      </c>
      <c r="B12">
        <f t="shared" si="8"/>
        <v>45</v>
      </c>
      <c r="C12" s="10">
        <f t="shared" si="4"/>
        <v>103617.09994428407</v>
      </c>
      <c r="D12" s="10">
        <f t="shared" si="0"/>
        <v>22795.761987742495</v>
      </c>
      <c r="E12" s="10">
        <f t="shared" si="5"/>
        <v>60476.237070485506</v>
      </c>
      <c r="F12" s="10">
        <f t="shared" si="1"/>
        <v>20345.100886056061</v>
      </c>
      <c r="G12" s="10">
        <f t="shared" si="10"/>
        <v>257659.16614619951</v>
      </c>
      <c r="H12" s="10">
        <f t="shared" si="2"/>
        <v>20612.73329169596</v>
      </c>
      <c r="I12" s="10">
        <f t="shared" si="3"/>
        <v>0</v>
      </c>
      <c r="J12" s="10">
        <f t="shared" si="6"/>
        <v>298617.00032395154</v>
      </c>
      <c r="K12" s="10">
        <f t="shared" si="7"/>
        <v>40957.834177752025</v>
      </c>
    </row>
    <row r="13" spans="1:11" x14ac:dyDescent="0.3">
      <c r="A13">
        <f t="shared" si="9"/>
        <v>12</v>
      </c>
      <c r="B13">
        <f t="shared" si="8"/>
        <v>46</v>
      </c>
      <c r="C13" s="10">
        <f t="shared" si="4"/>
        <v>107761.78394205544</v>
      </c>
      <c r="D13" s="10">
        <f t="shared" si="0"/>
        <v>23707.592467252198</v>
      </c>
      <c r="E13" s="10">
        <f t="shared" si="5"/>
        <v>62290.524182600071</v>
      </c>
      <c r="F13" s="10">
        <f t="shared" si="1"/>
        <v>21763.667292203172</v>
      </c>
      <c r="G13" s="10">
        <f t="shared" si="10"/>
        <v>298617.00032395154</v>
      </c>
      <c r="H13" s="10">
        <f t="shared" si="2"/>
        <v>23889.360025916125</v>
      </c>
      <c r="I13" s="10">
        <f t="shared" si="3"/>
        <v>0</v>
      </c>
      <c r="J13" s="10">
        <f t="shared" si="6"/>
        <v>344270.02764207084</v>
      </c>
      <c r="K13" s="10">
        <f t="shared" si="7"/>
        <v>45653.027318119304</v>
      </c>
    </row>
    <row r="14" spans="1:11" x14ac:dyDescent="0.3">
      <c r="A14">
        <f t="shared" si="9"/>
        <v>13</v>
      </c>
      <c r="B14">
        <f t="shared" si="8"/>
        <v>47</v>
      </c>
      <c r="C14" s="10">
        <f t="shared" si="4"/>
        <v>112072.25529973766</v>
      </c>
      <c r="D14" s="10">
        <f t="shared" si="0"/>
        <v>24655.896165942286</v>
      </c>
      <c r="E14" s="10">
        <f t="shared" si="5"/>
        <v>64159.239908078074</v>
      </c>
      <c r="F14" s="10">
        <f t="shared" si="1"/>
        <v>23257.119225717295</v>
      </c>
      <c r="G14" s="10">
        <f t="shared" si="10"/>
        <v>344270.02764207084</v>
      </c>
      <c r="H14" s="10">
        <f t="shared" si="2"/>
        <v>27541.602211365669</v>
      </c>
      <c r="I14" s="10">
        <f t="shared" si="3"/>
        <v>0</v>
      </c>
      <c r="J14" s="10">
        <f t="shared" si="6"/>
        <v>395068.74907915376</v>
      </c>
      <c r="K14" s="10">
        <f t="shared" si="7"/>
        <v>50798.721437082917</v>
      </c>
    </row>
    <row r="15" spans="1:11" x14ac:dyDescent="0.3">
      <c r="A15">
        <f t="shared" si="9"/>
        <v>14</v>
      </c>
      <c r="B15">
        <f t="shared" si="8"/>
        <v>48</v>
      </c>
      <c r="C15" s="10">
        <f t="shared" si="4"/>
        <v>116555.14551172717</v>
      </c>
      <c r="D15" s="10">
        <f t="shared" si="0"/>
        <v>25642.132012579976</v>
      </c>
      <c r="E15" s="10">
        <f t="shared" si="5"/>
        <v>66084.017105320425</v>
      </c>
      <c r="F15" s="10">
        <f t="shared" si="1"/>
        <v>24828.996393826776</v>
      </c>
      <c r="G15" s="10">
        <f t="shared" si="10"/>
        <v>395068.74907915376</v>
      </c>
      <c r="H15" s="10">
        <f t="shared" si="2"/>
        <v>31605.499926332301</v>
      </c>
      <c r="I15" s="10">
        <f t="shared" si="3"/>
        <v>0</v>
      </c>
      <c r="J15" s="10">
        <f t="shared" si="6"/>
        <v>451503.24539931287</v>
      </c>
      <c r="K15" s="10">
        <f t="shared" si="7"/>
        <v>56434.496320159116</v>
      </c>
    </row>
    <row r="16" spans="1:11" x14ac:dyDescent="0.3">
      <c r="A16">
        <f t="shared" si="9"/>
        <v>15</v>
      </c>
      <c r="B16">
        <f t="shared" si="8"/>
        <v>49</v>
      </c>
      <c r="C16" s="10">
        <f t="shared" si="4"/>
        <v>121217.35133219625</v>
      </c>
      <c r="D16" s="10">
        <f t="shared" si="0"/>
        <v>26667.817293083175</v>
      </c>
      <c r="E16" s="10">
        <f t="shared" si="5"/>
        <v>68066.537618480041</v>
      </c>
      <c r="F16" s="10">
        <f t="shared" si="1"/>
        <v>26482.996420633033</v>
      </c>
      <c r="G16" s="10">
        <f t="shared" si="10"/>
        <v>451503.24539931287</v>
      </c>
      <c r="H16" s="10">
        <f t="shared" si="2"/>
        <v>36120.259631945031</v>
      </c>
      <c r="I16" s="10">
        <f t="shared" si="3"/>
        <v>0</v>
      </c>
      <c r="J16" s="10">
        <f t="shared" si="6"/>
        <v>514106.50145189097</v>
      </c>
      <c r="K16" s="10">
        <f t="shared" si="7"/>
        <v>62603.256052578101</v>
      </c>
    </row>
    <row r="17" spans="1:11" x14ac:dyDescent="0.3">
      <c r="A17">
        <f t="shared" si="9"/>
        <v>16</v>
      </c>
      <c r="B17">
        <f t="shared" si="8"/>
        <v>50</v>
      </c>
      <c r="C17" s="10">
        <f t="shared" si="4"/>
        <v>126066.0453854841</v>
      </c>
      <c r="D17" s="10">
        <f t="shared" si="0"/>
        <v>27734.529984806504</v>
      </c>
      <c r="E17" s="10">
        <f t="shared" si="5"/>
        <v>70108.533747034438</v>
      </c>
      <c r="F17" s="10">
        <f t="shared" si="1"/>
        <v>28222.981653643161</v>
      </c>
      <c r="G17" s="10">
        <f t="shared" si="10"/>
        <v>514106.50145189097</v>
      </c>
      <c r="H17" s="10">
        <f t="shared" si="2"/>
        <v>41128.520116151281</v>
      </c>
      <c r="I17" s="10">
        <f t="shared" si="3"/>
        <v>0</v>
      </c>
      <c r="J17" s="10">
        <f t="shared" si="6"/>
        <v>583458.00322168542</v>
      </c>
      <c r="K17" s="10">
        <f t="shared" si="7"/>
        <v>69351.501769794442</v>
      </c>
    </row>
    <row r="18" spans="1:11" x14ac:dyDescent="0.3">
      <c r="A18">
        <f t="shared" si="9"/>
        <v>17</v>
      </c>
      <c r="B18">
        <f t="shared" si="8"/>
        <v>51</v>
      </c>
      <c r="C18" s="10">
        <f t="shared" si="4"/>
        <v>131108.68720090349</v>
      </c>
      <c r="D18" s="10">
        <f t="shared" si="0"/>
        <v>28843.911184198765</v>
      </c>
      <c r="E18" s="10">
        <f t="shared" si="5"/>
        <v>72211.78975944547</v>
      </c>
      <c r="F18" s="10">
        <f t="shared" si="1"/>
        <v>30052.986257259254</v>
      </c>
      <c r="G18" s="10">
        <f t="shared" si="10"/>
        <v>583458.00322168542</v>
      </c>
      <c r="H18" s="10">
        <f t="shared" si="2"/>
        <v>46676.640257734834</v>
      </c>
      <c r="I18" s="10">
        <f t="shared" si="3"/>
        <v>0</v>
      </c>
      <c r="J18" s="10">
        <f t="shared" si="6"/>
        <v>660187.62973667949</v>
      </c>
      <c r="K18" s="10">
        <f t="shared" si="7"/>
        <v>76729.626514994074</v>
      </c>
    </row>
    <row r="19" spans="1:11" x14ac:dyDescent="0.3">
      <c r="A19">
        <f t="shared" si="9"/>
        <v>18</v>
      </c>
      <c r="B19">
        <f t="shared" si="8"/>
        <v>52</v>
      </c>
      <c r="C19" s="10">
        <f t="shared" si="4"/>
        <v>136353.03468893963</v>
      </c>
      <c r="D19" s="10">
        <f t="shared" si="0"/>
        <v>29997.667631566717</v>
      </c>
      <c r="E19" s="10">
        <f t="shared" si="5"/>
        <v>74378.143452228833</v>
      </c>
      <c r="F19" s="10">
        <f t="shared" si="1"/>
        <v>31977.223605144085</v>
      </c>
      <c r="G19" s="10">
        <f t="shared" si="10"/>
        <v>660187.62973667949</v>
      </c>
      <c r="H19" s="10">
        <f t="shared" si="2"/>
        <v>52815.010378934363</v>
      </c>
      <c r="I19" s="10">
        <f t="shared" si="3"/>
        <v>0</v>
      </c>
      <c r="J19" s="10">
        <f t="shared" si="6"/>
        <v>744979.86372075789</v>
      </c>
      <c r="K19" s="10">
        <f t="shared" si="7"/>
        <v>84792.233984078397</v>
      </c>
    </row>
    <row r="20" spans="1:11" x14ac:dyDescent="0.3">
      <c r="A20">
        <f t="shared" si="9"/>
        <v>19</v>
      </c>
      <c r="B20">
        <f t="shared" si="8"/>
        <v>53</v>
      </c>
      <c r="C20" s="10">
        <f t="shared" si="4"/>
        <v>141807.15607649722</v>
      </c>
      <c r="D20" s="10">
        <f t="shared" si="0"/>
        <v>31197.574336829388</v>
      </c>
      <c r="E20" s="10">
        <f t="shared" si="5"/>
        <v>76609.487755795693</v>
      </c>
      <c r="F20" s="10">
        <f t="shared" si="1"/>
        <v>34000.093983872139</v>
      </c>
      <c r="G20" s="10">
        <f t="shared" si="10"/>
        <v>744979.86372075789</v>
      </c>
      <c r="H20" s="10">
        <f t="shared" si="2"/>
        <v>59598.389097660634</v>
      </c>
      <c r="I20" s="10">
        <f t="shared" si="3"/>
        <v>0</v>
      </c>
      <c r="J20" s="10">
        <f t="shared" si="6"/>
        <v>838578.34680229065</v>
      </c>
      <c r="K20" s="10">
        <f t="shared" si="7"/>
        <v>93598.483081532759</v>
      </c>
    </row>
    <row r="21" spans="1:11" x14ac:dyDescent="0.3">
      <c r="A21">
        <f t="shared" si="9"/>
        <v>20</v>
      </c>
      <c r="B21">
        <f t="shared" si="8"/>
        <v>54</v>
      </c>
      <c r="C21" s="10">
        <f t="shared" si="4"/>
        <v>147479.44231955713</v>
      </c>
      <c r="D21" s="10">
        <f t="shared" si="0"/>
        <v>32445.477310302569</v>
      </c>
      <c r="E21" s="10">
        <f t="shared" si="5"/>
        <v>78907.772388469573</v>
      </c>
      <c r="F21" s="10">
        <f t="shared" si="1"/>
        <v>36126.19262078499</v>
      </c>
      <c r="G21" s="10">
        <f t="shared" si="10"/>
        <v>838578.34680229065</v>
      </c>
      <c r="H21" s="10">
        <f t="shared" si="2"/>
        <v>67086.267744183249</v>
      </c>
      <c r="I21" s="10">
        <f t="shared" si="3"/>
        <v>0</v>
      </c>
      <c r="J21" s="10">
        <f t="shared" si="6"/>
        <v>941790.80716725881</v>
      </c>
      <c r="K21" s="10">
        <f t="shared" si="7"/>
        <v>103212.46036496817</v>
      </c>
    </row>
    <row r="22" spans="1:11" x14ac:dyDescent="0.3">
      <c r="A22">
        <f t="shared" si="9"/>
        <v>21</v>
      </c>
      <c r="B22">
        <f t="shared" si="8"/>
        <v>55</v>
      </c>
      <c r="C22" s="10">
        <f t="shared" si="4"/>
        <v>153378.62001233941</v>
      </c>
      <c r="D22" s="10">
        <f t="shared" si="0"/>
        <v>33743.296402714674</v>
      </c>
      <c r="E22" s="10">
        <f t="shared" si="5"/>
        <v>81275.005560123667</v>
      </c>
      <c r="F22" s="10">
        <f t="shared" si="1"/>
        <v>38360.31804950106</v>
      </c>
      <c r="G22" s="10">
        <f t="shared" si="10"/>
        <v>941790.80716725881</v>
      </c>
      <c r="H22" s="10">
        <f t="shared" si="2"/>
        <v>75343.2645733807</v>
      </c>
      <c r="I22" s="10">
        <f t="shared" si="3"/>
        <v>0</v>
      </c>
      <c r="J22" s="10">
        <f t="shared" si="6"/>
        <v>1055494.3897901406</v>
      </c>
      <c r="K22" s="10">
        <f t="shared" si="7"/>
        <v>113703.58262288175</v>
      </c>
    </row>
    <row r="23" spans="1:11" x14ac:dyDescent="0.3">
      <c r="A23">
        <f t="shared" si="9"/>
        <v>22</v>
      </c>
      <c r="B23">
        <f t="shared" si="8"/>
        <v>56</v>
      </c>
      <c r="C23" s="10">
        <f t="shared" si="4"/>
        <v>159513.76481283299</v>
      </c>
      <c r="D23" s="10">
        <f t="shared" si="0"/>
        <v>35093.028258823259</v>
      </c>
      <c r="E23" s="10">
        <f t="shared" si="5"/>
        <v>83713.255726927382</v>
      </c>
      <c r="F23" s="10">
        <f t="shared" si="1"/>
        <v>40707.480827082341</v>
      </c>
      <c r="G23" s="10">
        <f t="shared" si="10"/>
        <v>1055494.3897901406</v>
      </c>
      <c r="H23" s="10">
        <f t="shared" si="2"/>
        <v>84439.551183211253</v>
      </c>
      <c r="I23" s="10">
        <f t="shared" si="3"/>
        <v>0</v>
      </c>
      <c r="J23" s="10">
        <f t="shared" si="6"/>
        <v>1180641.4218004341</v>
      </c>
      <c r="K23" s="10">
        <f t="shared" si="7"/>
        <v>125147.03201029357</v>
      </c>
    </row>
    <row r="24" spans="1:11" x14ac:dyDescent="0.3">
      <c r="A24">
        <f t="shared" si="9"/>
        <v>23</v>
      </c>
      <c r="B24">
        <f t="shared" si="8"/>
        <v>57</v>
      </c>
      <c r="C24" s="10">
        <f t="shared" si="4"/>
        <v>165894.31540534631</v>
      </c>
      <c r="D24" s="10">
        <f t="shared" si="0"/>
        <v>36496.749389176191</v>
      </c>
      <c r="E24" s="10">
        <f t="shared" si="5"/>
        <v>86224.653398735201</v>
      </c>
      <c r="F24" s="10">
        <f t="shared" si="1"/>
        <v>43172.912617434908</v>
      </c>
      <c r="G24" s="10">
        <f t="shared" si="10"/>
        <v>1180641.4218004341</v>
      </c>
      <c r="H24" s="10">
        <f t="shared" si="2"/>
        <v>94451.313744034735</v>
      </c>
      <c r="I24" s="10">
        <f t="shared" si="3"/>
        <v>0</v>
      </c>
      <c r="J24" s="10">
        <f t="shared" si="6"/>
        <v>1318265.6481619037</v>
      </c>
      <c r="K24" s="10">
        <f t="shared" si="7"/>
        <v>137624.2263614696</v>
      </c>
    </row>
    <row r="25" spans="1:11" x14ac:dyDescent="0.3">
      <c r="A25">
        <f t="shared" si="9"/>
        <v>24</v>
      </c>
      <c r="B25">
        <f t="shared" si="8"/>
        <v>58</v>
      </c>
      <c r="C25" s="10">
        <f t="shared" si="4"/>
        <v>172530.08802156016</v>
      </c>
      <c r="D25" s="10">
        <f t="shared" si="0"/>
        <v>37956.619364743237</v>
      </c>
      <c r="E25" s="10">
        <f t="shared" si="5"/>
        <v>88811.393000697266</v>
      </c>
      <c r="F25" s="10">
        <f t="shared" si="1"/>
        <v>45762.075656119661</v>
      </c>
      <c r="G25" s="10">
        <f t="shared" si="10"/>
        <v>1318265.6481619037</v>
      </c>
      <c r="H25" s="10">
        <f t="shared" si="2"/>
        <v>105461.25185295229</v>
      </c>
      <c r="I25" s="10">
        <f t="shared" si="3"/>
        <v>0</v>
      </c>
      <c r="J25" s="10">
        <f t="shared" si="6"/>
        <v>1469488.9756709756</v>
      </c>
      <c r="K25" s="10">
        <f t="shared" si="7"/>
        <v>151223.32750907191</v>
      </c>
    </row>
    <row r="26" spans="1:11" x14ac:dyDescent="0.3">
      <c r="A26">
        <f t="shared" si="9"/>
        <v>25</v>
      </c>
      <c r="B26">
        <f t="shared" si="8"/>
        <v>59</v>
      </c>
      <c r="C26" s="10">
        <f t="shared" si="4"/>
        <v>179431.29154242258</v>
      </c>
      <c r="D26" s="10">
        <f t="shared" si="0"/>
        <v>39474.884139332971</v>
      </c>
      <c r="E26" s="10">
        <f t="shared" si="5"/>
        <v>91475.734790718183</v>
      </c>
      <c r="F26" s="10">
        <f t="shared" si="1"/>
        <v>48480.672612371418</v>
      </c>
      <c r="G26" s="10">
        <f t="shared" si="10"/>
        <v>1469488.9756709756</v>
      </c>
      <c r="H26" s="10">
        <f t="shared" si="2"/>
        <v>117559.11805367806</v>
      </c>
      <c r="I26" s="10">
        <f t="shared" si="3"/>
        <v>0</v>
      </c>
      <c r="J26" s="10">
        <f t="shared" si="6"/>
        <v>1635528.766337025</v>
      </c>
      <c r="K26" s="10">
        <f t="shared" si="7"/>
        <v>166039.79066604935</v>
      </c>
    </row>
    <row r="27" spans="1:11" x14ac:dyDescent="0.3">
      <c r="A27">
        <f t="shared" si="9"/>
        <v>26</v>
      </c>
      <c r="B27">
        <f t="shared" si="8"/>
        <v>60</v>
      </c>
      <c r="C27" s="10">
        <f t="shared" si="4"/>
        <v>0</v>
      </c>
      <c r="D27" s="10">
        <f t="shared" si="0"/>
        <v>0</v>
      </c>
      <c r="E27" s="10">
        <f t="shared" si="5"/>
        <v>94220.00683443973</v>
      </c>
      <c r="F27" s="10">
        <f t="shared" si="1"/>
        <v>0</v>
      </c>
      <c r="G27" s="10">
        <f t="shared" si="10"/>
        <v>1635528.766337025</v>
      </c>
      <c r="H27" s="10">
        <f t="shared" si="2"/>
        <v>98131.725980221498</v>
      </c>
      <c r="I27" s="10">
        <f t="shared" si="3"/>
        <v>94220.00683443973</v>
      </c>
      <c r="J27" s="10">
        <f t="shared" si="6"/>
        <v>1639440.4854828068</v>
      </c>
      <c r="K27" s="10">
        <f t="shared" si="7"/>
        <v>3911.7191457818262</v>
      </c>
    </row>
    <row r="28" spans="1:11" x14ac:dyDescent="0.3">
      <c r="A28">
        <f t="shared" si="9"/>
        <v>27</v>
      </c>
      <c r="B28">
        <f t="shared" si="8"/>
        <v>61</v>
      </c>
      <c r="C28" s="10">
        <f t="shared" si="4"/>
        <v>0</v>
      </c>
      <c r="D28" s="10">
        <f t="shared" si="0"/>
        <v>0</v>
      </c>
      <c r="E28" s="10">
        <f t="shared" si="5"/>
        <v>97046.607039472918</v>
      </c>
      <c r="F28" s="10">
        <f t="shared" si="1"/>
        <v>0</v>
      </c>
      <c r="G28" s="10">
        <f t="shared" si="10"/>
        <v>1639440.4854828068</v>
      </c>
      <c r="H28" s="10">
        <f t="shared" si="2"/>
        <v>98366.429128968404</v>
      </c>
      <c r="I28" s="10">
        <f t="shared" si="3"/>
        <v>97046.607039472918</v>
      </c>
      <c r="J28" s="10">
        <f t="shared" si="6"/>
        <v>1640760.3075723022</v>
      </c>
      <c r="K28" s="10">
        <f t="shared" si="7"/>
        <v>1319.8220894953702</v>
      </c>
    </row>
    <row r="29" spans="1:11" x14ac:dyDescent="0.3">
      <c r="A29">
        <f t="shared" si="9"/>
        <v>28</v>
      </c>
      <c r="B29">
        <f t="shared" si="8"/>
        <v>62</v>
      </c>
      <c r="C29" s="10">
        <f t="shared" si="4"/>
        <v>0</v>
      </c>
      <c r="D29" s="10">
        <f t="shared" si="0"/>
        <v>0</v>
      </c>
      <c r="E29" s="10">
        <f t="shared" si="5"/>
        <v>99958.005250657108</v>
      </c>
      <c r="F29" s="10">
        <f t="shared" si="1"/>
        <v>0</v>
      </c>
      <c r="G29" s="10">
        <f t="shared" si="10"/>
        <v>1640760.3075723022</v>
      </c>
      <c r="H29" s="10">
        <f t="shared" si="2"/>
        <v>98445.618454338124</v>
      </c>
      <c r="I29" s="10">
        <f t="shared" si="3"/>
        <v>99958.005250657108</v>
      </c>
      <c r="J29" s="10">
        <f t="shared" si="6"/>
        <v>1639247.920775983</v>
      </c>
      <c r="K29" s="10">
        <f t="shared" si="7"/>
        <v>-1512.3867963191587</v>
      </c>
    </row>
    <row r="30" spans="1:11" x14ac:dyDescent="0.3">
      <c r="A30">
        <f t="shared" si="9"/>
        <v>29</v>
      </c>
      <c r="B30">
        <f t="shared" si="8"/>
        <v>63</v>
      </c>
      <c r="C30" s="10">
        <f t="shared" si="4"/>
        <v>0</v>
      </c>
      <c r="D30" s="10">
        <f t="shared" si="0"/>
        <v>0</v>
      </c>
      <c r="E30" s="10">
        <f t="shared" si="5"/>
        <v>102956.74540817682</v>
      </c>
      <c r="F30" s="10">
        <f t="shared" si="1"/>
        <v>0</v>
      </c>
      <c r="G30" s="10">
        <f t="shared" si="10"/>
        <v>1639247.920775983</v>
      </c>
      <c r="H30" s="10">
        <f t="shared" si="2"/>
        <v>98354.875246558979</v>
      </c>
      <c r="I30" s="10">
        <f t="shared" si="3"/>
        <v>102956.74540817682</v>
      </c>
      <c r="J30" s="10">
        <f t="shared" si="6"/>
        <v>1634646.0506143651</v>
      </c>
      <c r="K30" s="10">
        <f t="shared" si="7"/>
        <v>-4601.8701616178732</v>
      </c>
    </row>
    <row r="31" spans="1:11" x14ac:dyDescent="0.3">
      <c r="A31">
        <f t="shared" si="9"/>
        <v>30</v>
      </c>
      <c r="B31">
        <f t="shared" si="8"/>
        <v>64</v>
      </c>
      <c r="C31" s="10">
        <f t="shared" si="4"/>
        <v>0</v>
      </c>
      <c r="D31" s="10">
        <f t="shared" si="0"/>
        <v>0</v>
      </c>
      <c r="E31" s="10">
        <f t="shared" si="5"/>
        <v>106045.44777042214</v>
      </c>
      <c r="F31" s="10">
        <f t="shared" si="1"/>
        <v>0</v>
      </c>
      <c r="G31" s="10">
        <f t="shared" si="10"/>
        <v>1634646.0506143651</v>
      </c>
      <c r="H31" s="10">
        <f t="shared" si="2"/>
        <v>98078.763036861899</v>
      </c>
      <c r="I31" s="10">
        <f t="shared" si="3"/>
        <v>106045.44777042214</v>
      </c>
      <c r="J31" s="10">
        <f t="shared" si="6"/>
        <v>1626679.3658808048</v>
      </c>
      <c r="K31" s="10">
        <f t="shared" si="7"/>
        <v>-7966.6847335603088</v>
      </c>
    </row>
    <row r="32" spans="1:11" x14ac:dyDescent="0.3">
      <c r="A32">
        <f t="shared" si="9"/>
        <v>31</v>
      </c>
      <c r="B32">
        <f t="shared" si="8"/>
        <v>65</v>
      </c>
      <c r="C32" s="10">
        <f t="shared" si="4"/>
        <v>0</v>
      </c>
      <c r="D32" s="10">
        <f t="shared" si="0"/>
        <v>0</v>
      </c>
      <c r="E32" s="10">
        <f t="shared" si="5"/>
        <v>109226.8112035348</v>
      </c>
      <c r="F32" s="10">
        <f t="shared" si="1"/>
        <v>0</v>
      </c>
      <c r="G32" s="10">
        <f t="shared" si="10"/>
        <v>1626679.3658808048</v>
      </c>
      <c r="H32" s="10">
        <f t="shared" si="2"/>
        <v>97600.76195284829</v>
      </c>
      <c r="I32" s="10">
        <f t="shared" si="3"/>
        <v>109226.8112035348</v>
      </c>
      <c r="J32" s="10">
        <f t="shared" si="6"/>
        <v>1615053.3166301185</v>
      </c>
      <c r="K32" s="10">
        <f t="shared" si="7"/>
        <v>-11626.049250686308</v>
      </c>
    </row>
    <row r="33" spans="1:11" x14ac:dyDescent="0.3">
      <c r="A33">
        <f t="shared" si="9"/>
        <v>32</v>
      </c>
      <c r="B33">
        <f t="shared" si="8"/>
        <v>66</v>
      </c>
      <c r="C33" s="10">
        <f t="shared" si="4"/>
        <v>0</v>
      </c>
      <c r="D33" s="10">
        <f t="shared" si="0"/>
        <v>0</v>
      </c>
      <c r="E33" s="10">
        <f t="shared" si="5"/>
        <v>112503.61553964084</v>
      </c>
      <c r="F33" s="10">
        <f t="shared" si="1"/>
        <v>0</v>
      </c>
      <c r="G33" s="10">
        <f t="shared" si="10"/>
        <v>1615053.3166301185</v>
      </c>
      <c r="H33" s="10">
        <f t="shared" si="2"/>
        <v>96903.198997807107</v>
      </c>
      <c r="I33" s="10">
        <f t="shared" si="3"/>
        <v>112503.61553964084</v>
      </c>
      <c r="J33" s="10">
        <f t="shared" si="6"/>
        <v>1599452.9000882849</v>
      </c>
      <c r="K33" s="10">
        <f t="shared" si="7"/>
        <v>-15600.416541833663</v>
      </c>
    </row>
    <row r="34" spans="1:11" x14ac:dyDescent="0.3">
      <c r="A34">
        <f t="shared" si="9"/>
        <v>33</v>
      </c>
      <c r="B34">
        <f t="shared" si="8"/>
        <v>67</v>
      </c>
      <c r="C34" s="10">
        <f t="shared" si="4"/>
        <v>0</v>
      </c>
      <c r="D34" s="10">
        <f t="shared" ref="D34:D65" si="11">C34*tax_rate</f>
        <v>0</v>
      </c>
      <c r="E34" s="10">
        <f t="shared" si="5"/>
        <v>115878.72400583007</v>
      </c>
      <c r="F34" s="10">
        <f t="shared" ref="F34:F65" si="12">IF($B34&lt;retirement_age,C34-D34-E34,0)</f>
        <v>0</v>
      </c>
      <c r="G34" s="10">
        <f t="shared" si="10"/>
        <v>1599452.9000882849</v>
      </c>
      <c r="H34" s="10">
        <f t="shared" ref="H34:H65" si="13">IF(B34&lt;retirement_age,G34*investment_return_pre,G34*investment_return_post)</f>
        <v>95967.174005297085</v>
      </c>
      <c r="I34" s="10">
        <f t="shared" ref="I34:I65" si="14">IF($B34&lt;retirement_age,0,E34)</f>
        <v>115878.72400583007</v>
      </c>
      <c r="J34" s="10">
        <f t="shared" si="6"/>
        <v>1579541.3500877519</v>
      </c>
      <c r="K34" s="10">
        <f t="shared" si="7"/>
        <v>-19911.550000532996</v>
      </c>
    </row>
    <row r="35" spans="1:11" x14ac:dyDescent="0.3">
      <c r="A35">
        <f t="shared" si="9"/>
        <v>34</v>
      </c>
      <c r="B35">
        <f t="shared" si="8"/>
        <v>68</v>
      </c>
      <c r="C35" s="10">
        <f t="shared" ref="C35:C66" si="15">IF($B35&lt;retirement_age,C34*(1+annual_income_increase),0)</f>
        <v>0</v>
      </c>
      <c r="D35" s="10">
        <f t="shared" si="11"/>
        <v>0</v>
      </c>
      <c r="E35" s="10">
        <f t="shared" ref="E35:E66" si="16">E34*(1+annual_inflation)</f>
        <v>119355.08572600497</v>
      </c>
      <c r="F35" s="10">
        <f t="shared" si="12"/>
        <v>0</v>
      </c>
      <c r="G35" s="10">
        <f t="shared" si="10"/>
        <v>1579541.3500877519</v>
      </c>
      <c r="H35" s="10">
        <f t="shared" si="13"/>
        <v>94772.481005265116</v>
      </c>
      <c r="I35" s="10">
        <f t="shared" si="14"/>
        <v>119355.08572600497</v>
      </c>
      <c r="J35" s="10">
        <f t="shared" si="6"/>
        <v>1554958.745367012</v>
      </c>
      <c r="K35" s="10">
        <f t="shared" si="7"/>
        <v>-24582.604720739881</v>
      </c>
    </row>
    <row r="36" spans="1:11" x14ac:dyDescent="0.3">
      <c r="A36">
        <f t="shared" si="9"/>
        <v>35</v>
      </c>
      <c r="B36">
        <f t="shared" si="8"/>
        <v>69</v>
      </c>
      <c r="C36" s="10">
        <f t="shared" si="15"/>
        <v>0</v>
      </c>
      <c r="D36" s="10">
        <f t="shared" si="11"/>
        <v>0</v>
      </c>
      <c r="E36" s="10">
        <f t="shared" si="16"/>
        <v>122935.73829778512</v>
      </c>
      <c r="F36" s="10">
        <f t="shared" si="12"/>
        <v>0</v>
      </c>
      <c r="G36" s="10">
        <f t="shared" si="10"/>
        <v>1554958.745367012</v>
      </c>
      <c r="H36" s="10">
        <f t="shared" si="13"/>
        <v>93297.524722020709</v>
      </c>
      <c r="I36" s="10">
        <f t="shared" si="14"/>
        <v>122935.73829778512</v>
      </c>
      <c r="J36" s="10">
        <f t="shared" si="6"/>
        <v>1525320.5317912474</v>
      </c>
      <c r="K36" s="10">
        <f t="shared" si="7"/>
        <v>-29638.213575764559</v>
      </c>
    </row>
    <row r="37" spans="1:11" x14ac:dyDescent="0.3">
      <c r="A37">
        <f t="shared" si="9"/>
        <v>36</v>
      </c>
      <c r="B37">
        <f t="shared" si="8"/>
        <v>70</v>
      </c>
      <c r="C37" s="10">
        <f t="shared" si="15"/>
        <v>0</v>
      </c>
      <c r="D37" s="10">
        <f t="shared" si="11"/>
        <v>0</v>
      </c>
      <c r="E37" s="10">
        <f t="shared" si="16"/>
        <v>126623.81044671868</v>
      </c>
      <c r="F37" s="10">
        <f t="shared" si="12"/>
        <v>0</v>
      </c>
      <c r="G37" s="10">
        <f t="shared" si="10"/>
        <v>1525320.5317912474</v>
      </c>
      <c r="H37" s="10">
        <f t="shared" si="13"/>
        <v>91519.231907474837</v>
      </c>
      <c r="I37" s="10">
        <f t="shared" si="14"/>
        <v>126623.81044671868</v>
      </c>
      <c r="J37" s="10">
        <f t="shared" si="6"/>
        <v>1490215.9532520035</v>
      </c>
      <c r="K37" s="10">
        <f t="shared" si="7"/>
        <v>-35104.578539243899</v>
      </c>
    </row>
    <row r="38" spans="1:11" x14ac:dyDescent="0.3">
      <c r="A38">
        <f t="shared" si="9"/>
        <v>37</v>
      </c>
      <c r="B38">
        <f t="shared" si="8"/>
        <v>71</v>
      </c>
      <c r="C38" s="10">
        <f t="shared" si="15"/>
        <v>0</v>
      </c>
      <c r="D38" s="10">
        <f t="shared" si="11"/>
        <v>0</v>
      </c>
      <c r="E38" s="10">
        <f t="shared" si="16"/>
        <v>130422.52476012024</v>
      </c>
      <c r="F38" s="10">
        <f t="shared" si="12"/>
        <v>0</v>
      </c>
      <c r="G38" s="10">
        <f t="shared" si="10"/>
        <v>1490215.9532520035</v>
      </c>
      <c r="H38" s="10">
        <f t="shared" si="13"/>
        <v>89412.957195120209</v>
      </c>
      <c r="I38" s="10">
        <f t="shared" si="14"/>
        <v>130422.52476012024</v>
      </c>
      <c r="J38" s="10">
        <f t="shared" si="6"/>
        <v>1449206.3856870034</v>
      </c>
      <c r="K38" s="10">
        <f t="shared" si="7"/>
        <v>-41009.56756500015</v>
      </c>
    </row>
    <row r="39" spans="1:11" x14ac:dyDescent="0.3">
      <c r="A39">
        <f t="shared" si="9"/>
        <v>38</v>
      </c>
      <c r="B39">
        <f t="shared" si="8"/>
        <v>72</v>
      </c>
      <c r="C39" s="10">
        <f t="shared" si="15"/>
        <v>0</v>
      </c>
      <c r="D39" s="10">
        <f t="shared" si="11"/>
        <v>0</v>
      </c>
      <c r="E39" s="10">
        <f t="shared" si="16"/>
        <v>134335.20050292386</v>
      </c>
      <c r="F39" s="10">
        <f t="shared" si="12"/>
        <v>0</v>
      </c>
      <c r="G39" s="10">
        <f t="shared" si="10"/>
        <v>1449206.3856870034</v>
      </c>
      <c r="H39" s="10">
        <f t="shared" si="13"/>
        <v>86952.383141220198</v>
      </c>
      <c r="I39" s="10">
        <f t="shared" si="14"/>
        <v>134335.20050292386</v>
      </c>
      <c r="J39" s="10">
        <f t="shared" si="6"/>
        <v>1401823.5683252995</v>
      </c>
      <c r="K39" s="10">
        <f t="shared" si="7"/>
        <v>-47382.817361703841</v>
      </c>
    </row>
    <row r="40" spans="1:11" x14ac:dyDescent="0.3">
      <c r="A40">
        <f t="shared" si="9"/>
        <v>39</v>
      </c>
      <c r="B40">
        <f t="shared" si="8"/>
        <v>73</v>
      </c>
      <c r="C40" s="10">
        <f t="shared" si="15"/>
        <v>0</v>
      </c>
      <c r="D40" s="10">
        <f t="shared" si="11"/>
        <v>0</v>
      </c>
      <c r="E40" s="10">
        <f t="shared" si="16"/>
        <v>138365.25651801159</v>
      </c>
      <c r="F40" s="10">
        <f t="shared" si="12"/>
        <v>0</v>
      </c>
      <c r="G40" s="10">
        <f t="shared" si="10"/>
        <v>1401823.5683252995</v>
      </c>
      <c r="H40" s="10">
        <f t="shared" si="13"/>
        <v>84109.414099517962</v>
      </c>
      <c r="I40" s="10">
        <f t="shared" si="14"/>
        <v>138365.25651801159</v>
      </c>
      <c r="J40" s="10">
        <f t="shared" si="6"/>
        <v>1347567.7259068058</v>
      </c>
      <c r="K40" s="10">
        <f t="shared" si="7"/>
        <v>-54255.842418493703</v>
      </c>
    </row>
    <row r="41" spans="1:11" x14ac:dyDescent="0.3">
      <c r="A41">
        <f t="shared" si="9"/>
        <v>40</v>
      </c>
      <c r="B41">
        <f t="shared" si="8"/>
        <v>74</v>
      </c>
      <c r="C41" s="10">
        <f t="shared" si="15"/>
        <v>0</v>
      </c>
      <c r="D41" s="10">
        <f t="shared" si="11"/>
        <v>0</v>
      </c>
      <c r="E41" s="10">
        <f t="shared" si="16"/>
        <v>142516.21421355195</v>
      </c>
      <c r="F41" s="10">
        <f t="shared" si="12"/>
        <v>0</v>
      </c>
      <c r="G41" s="10">
        <f t="shared" si="10"/>
        <v>1347567.7259068058</v>
      </c>
      <c r="H41" s="10">
        <f t="shared" si="13"/>
        <v>80854.063554408349</v>
      </c>
      <c r="I41" s="10">
        <f t="shared" si="14"/>
        <v>142516.21421355195</v>
      </c>
      <c r="J41" s="10">
        <f t="shared" si="6"/>
        <v>1285905.5752476621</v>
      </c>
      <c r="K41" s="10">
        <f t="shared" si="7"/>
        <v>-61662.150659143692</v>
      </c>
    </row>
    <row r="42" spans="1:11" x14ac:dyDescent="0.3">
      <c r="A42">
        <f t="shared" si="9"/>
        <v>41</v>
      </c>
      <c r="B42">
        <f t="shared" si="8"/>
        <v>75</v>
      </c>
      <c r="C42" s="10">
        <f t="shared" si="15"/>
        <v>0</v>
      </c>
      <c r="D42" s="10">
        <f t="shared" si="11"/>
        <v>0</v>
      </c>
      <c r="E42" s="10">
        <f t="shared" si="16"/>
        <v>146791.70063995852</v>
      </c>
      <c r="F42" s="10">
        <f t="shared" si="12"/>
        <v>0</v>
      </c>
      <c r="G42" s="10">
        <f t="shared" si="10"/>
        <v>1285905.5752476621</v>
      </c>
      <c r="H42" s="10">
        <f t="shared" si="13"/>
        <v>77154.334514859729</v>
      </c>
      <c r="I42" s="10">
        <f t="shared" si="14"/>
        <v>146791.70063995852</v>
      </c>
      <c r="J42" s="10">
        <f t="shared" si="6"/>
        <v>1216268.2091225635</v>
      </c>
      <c r="K42" s="10">
        <f t="shared" si="7"/>
        <v>-69637.366125098662</v>
      </c>
    </row>
    <row r="43" spans="1:11" x14ac:dyDescent="0.3">
      <c r="A43">
        <f t="shared" si="9"/>
        <v>42</v>
      </c>
      <c r="B43">
        <f t="shared" si="8"/>
        <v>76</v>
      </c>
      <c r="C43" s="10">
        <f t="shared" si="15"/>
        <v>0</v>
      </c>
      <c r="D43" s="10">
        <f t="shared" si="11"/>
        <v>0</v>
      </c>
      <c r="E43" s="10">
        <f t="shared" si="16"/>
        <v>151195.45165915729</v>
      </c>
      <c r="F43" s="10">
        <f t="shared" si="12"/>
        <v>0</v>
      </c>
      <c r="G43" s="10">
        <f t="shared" si="10"/>
        <v>1216268.2091225635</v>
      </c>
      <c r="H43" s="10">
        <f t="shared" si="13"/>
        <v>72976.092547353808</v>
      </c>
      <c r="I43" s="10">
        <f t="shared" si="14"/>
        <v>151195.45165915729</v>
      </c>
      <c r="J43" s="10">
        <f t="shared" si="6"/>
        <v>1138048.8500107601</v>
      </c>
      <c r="K43" s="10">
        <f t="shared" si="7"/>
        <v>-78219.359111803351</v>
      </c>
    </row>
    <row r="44" spans="1:11" x14ac:dyDescent="0.3">
      <c r="A44">
        <f t="shared" si="9"/>
        <v>43</v>
      </c>
      <c r="B44">
        <f t="shared" si="8"/>
        <v>77</v>
      </c>
      <c r="C44" s="10">
        <f t="shared" si="15"/>
        <v>0</v>
      </c>
      <c r="D44" s="10">
        <f t="shared" si="11"/>
        <v>0</v>
      </c>
      <c r="E44" s="10">
        <f t="shared" si="16"/>
        <v>155731.31520893201</v>
      </c>
      <c r="F44" s="10">
        <f t="shared" si="12"/>
        <v>0</v>
      </c>
      <c r="G44" s="10">
        <f t="shared" si="10"/>
        <v>1138048.8500107601</v>
      </c>
      <c r="H44" s="10">
        <f t="shared" si="13"/>
        <v>68282.931000645607</v>
      </c>
      <c r="I44" s="10">
        <f t="shared" si="14"/>
        <v>155731.31520893201</v>
      </c>
      <c r="J44" s="10">
        <f t="shared" si="6"/>
        <v>1050600.4658024737</v>
      </c>
      <c r="K44" s="10">
        <f t="shared" si="7"/>
        <v>-87448.384208286414</v>
      </c>
    </row>
    <row r="45" spans="1:11" x14ac:dyDescent="0.3">
      <c r="A45">
        <f t="shared" si="9"/>
        <v>44</v>
      </c>
      <c r="B45">
        <f t="shared" si="8"/>
        <v>78</v>
      </c>
      <c r="C45" s="10">
        <f t="shared" si="15"/>
        <v>0</v>
      </c>
      <c r="D45" s="10">
        <f t="shared" si="11"/>
        <v>0</v>
      </c>
      <c r="E45" s="10">
        <f t="shared" si="16"/>
        <v>160403.25466519996</v>
      </c>
      <c r="F45" s="10">
        <f t="shared" si="12"/>
        <v>0</v>
      </c>
      <c r="G45" s="10">
        <f t="shared" si="10"/>
        <v>1050600.4658024737</v>
      </c>
      <c r="H45" s="10">
        <f t="shared" si="13"/>
        <v>63036.027948148418</v>
      </c>
      <c r="I45" s="10">
        <f t="shared" si="14"/>
        <v>160403.25466519996</v>
      </c>
      <c r="J45" s="10">
        <f t="shared" si="6"/>
        <v>953233.23908542213</v>
      </c>
      <c r="K45" s="10">
        <f t="shared" si="7"/>
        <v>-97367.226717051584</v>
      </c>
    </row>
    <row r="46" spans="1:11" x14ac:dyDescent="0.3">
      <c r="A46">
        <f t="shared" si="9"/>
        <v>45</v>
      </c>
      <c r="B46">
        <f t="shared" si="8"/>
        <v>79</v>
      </c>
      <c r="C46" s="10">
        <f t="shared" si="15"/>
        <v>0</v>
      </c>
      <c r="D46" s="10">
        <f t="shared" si="11"/>
        <v>0</v>
      </c>
      <c r="E46" s="10">
        <f t="shared" si="16"/>
        <v>165215.35230515598</v>
      </c>
      <c r="F46" s="10">
        <f t="shared" si="12"/>
        <v>0</v>
      </c>
      <c r="G46" s="10">
        <f t="shared" si="10"/>
        <v>953233.23908542213</v>
      </c>
      <c r="H46" s="10">
        <f t="shared" si="13"/>
        <v>57193.994345125328</v>
      </c>
      <c r="I46" s="10">
        <f t="shared" si="14"/>
        <v>165215.35230515598</v>
      </c>
      <c r="J46" s="10">
        <f t="shared" si="6"/>
        <v>845211.88112539146</v>
      </c>
      <c r="K46" s="10">
        <f t="shared" si="7"/>
        <v>-108021.35796003067</v>
      </c>
    </row>
    <row r="47" spans="1:11" x14ac:dyDescent="0.3">
      <c r="A47">
        <f t="shared" si="9"/>
        <v>46</v>
      </c>
      <c r="B47">
        <f t="shared" si="8"/>
        <v>80</v>
      </c>
      <c r="C47" s="10">
        <f t="shared" si="15"/>
        <v>0</v>
      </c>
      <c r="D47" s="10">
        <f t="shared" si="11"/>
        <v>0</v>
      </c>
      <c r="E47" s="10">
        <f t="shared" si="16"/>
        <v>170171.81287431065</v>
      </c>
      <c r="F47" s="10">
        <f t="shared" si="12"/>
        <v>0</v>
      </c>
      <c r="G47" s="10">
        <f t="shared" si="10"/>
        <v>845211.88112539146</v>
      </c>
      <c r="H47" s="10">
        <f t="shared" si="13"/>
        <v>50712.712867523485</v>
      </c>
      <c r="I47" s="10">
        <f t="shared" si="14"/>
        <v>170171.81287431065</v>
      </c>
      <c r="J47" s="10">
        <f t="shared" si="6"/>
        <v>725752.78111860435</v>
      </c>
      <c r="K47" s="10">
        <f t="shared" si="7"/>
        <v>-119459.10000678711</v>
      </c>
    </row>
    <row r="48" spans="1:11" x14ac:dyDescent="0.3">
      <c r="A48">
        <f t="shared" si="9"/>
        <v>47</v>
      </c>
      <c r="B48">
        <f t="shared" si="8"/>
        <v>81</v>
      </c>
      <c r="C48" s="10">
        <f t="shared" si="15"/>
        <v>0</v>
      </c>
      <c r="D48" s="10">
        <f t="shared" si="11"/>
        <v>0</v>
      </c>
      <c r="E48" s="10">
        <f t="shared" si="16"/>
        <v>175276.96726053997</v>
      </c>
      <c r="F48" s="10">
        <f t="shared" si="12"/>
        <v>0</v>
      </c>
      <c r="G48" s="10">
        <f t="shared" si="10"/>
        <v>725752.78111860435</v>
      </c>
      <c r="H48" s="10">
        <f t="shared" si="13"/>
        <v>43545.166867116262</v>
      </c>
      <c r="I48" s="10">
        <f t="shared" si="14"/>
        <v>175276.96726053997</v>
      </c>
      <c r="J48" s="10">
        <f t="shared" si="6"/>
        <v>594020.98072518059</v>
      </c>
      <c r="K48" s="10">
        <f t="shared" si="7"/>
        <v>-131731.80039342376</v>
      </c>
    </row>
    <row r="49" spans="1:11" x14ac:dyDescent="0.3">
      <c r="A49">
        <f t="shared" si="9"/>
        <v>48</v>
      </c>
      <c r="B49">
        <f t="shared" si="8"/>
        <v>82</v>
      </c>
      <c r="C49" s="10">
        <f t="shared" si="15"/>
        <v>0</v>
      </c>
      <c r="D49" s="10">
        <f t="shared" si="11"/>
        <v>0</v>
      </c>
      <c r="E49" s="10">
        <f t="shared" si="16"/>
        <v>180535.27627835618</v>
      </c>
      <c r="F49" s="10">
        <f t="shared" si="12"/>
        <v>0</v>
      </c>
      <c r="G49" s="10">
        <f t="shared" si="10"/>
        <v>594020.98072518059</v>
      </c>
      <c r="H49" s="10">
        <f t="shared" si="13"/>
        <v>35641.258843510834</v>
      </c>
      <c r="I49" s="10">
        <f t="shared" si="14"/>
        <v>180535.27627835618</v>
      </c>
      <c r="J49" s="10">
        <f t="shared" si="6"/>
        <v>449126.96329033526</v>
      </c>
      <c r="K49" s="10">
        <f t="shared" si="7"/>
        <v>-144894.01743484533</v>
      </c>
    </row>
    <row r="50" spans="1:11" x14ac:dyDescent="0.3">
      <c r="A50">
        <f t="shared" si="9"/>
        <v>49</v>
      </c>
      <c r="B50">
        <f t="shared" si="8"/>
        <v>83</v>
      </c>
      <c r="C50" s="10">
        <f t="shared" si="15"/>
        <v>0</v>
      </c>
      <c r="D50" s="10">
        <f t="shared" si="11"/>
        <v>0</v>
      </c>
      <c r="E50" s="10">
        <f t="shared" si="16"/>
        <v>185951.33456670688</v>
      </c>
      <c r="F50" s="10">
        <f t="shared" si="12"/>
        <v>0</v>
      </c>
      <c r="G50" s="10">
        <f t="shared" si="10"/>
        <v>449126.96329033526</v>
      </c>
      <c r="H50" s="10">
        <f t="shared" si="13"/>
        <v>26947.617797420116</v>
      </c>
      <c r="I50" s="10">
        <f t="shared" si="14"/>
        <v>185951.33456670688</v>
      </c>
      <c r="J50" s="10">
        <f t="shared" si="6"/>
        <v>290123.24652104848</v>
      </c>
      <c r="K50" s="10">
        <f t="shared" si="7"/>
        <v>-159003.71676928678</v>
      </c>
    </row>
    <row r="51" spans="1:11" x14ac:dyDescent="0.3">
      <c r="A51">
        <f t="shared" si="9"/>
        <v>50</v>
      </c>
      <c r="B51">
        <f t="shared" si="8"/>
        <v>84</v>
      </c>
      <c r="C51" s="10">
        <f t="shared" si="15"/>
        <v>0</v>
      </c>
      <c r="D51" s="10">
        <f t="shared" si="11"/>
        <v>0</v>
      </c>
      <c r="E51" s="10">
        <f t="shared" si="16"/>
        <v>191529.8746037081</v>
      </c>
      <c r="F51" s="10">
        <f t="shared" si="12"/>
        <v>0</v>
      </c>
      <c r="G51" s="10">
        <f t="shared" si="10"/>
        <v>290123.24652104848</v>
      </c>
      <c r="H51" s="10">
        <f t="shared" si="13"/>
        <v>17407.394791262908</v>
      </c>
      <c r="I51" s="10">
        <f t="shared" si="14"/>
        <v>191529.8746037081</v>
      </c>
      <c r="J51" s="10">
        <f t="shared" si="6"/>
        <v>116000.7667086033</v>
      </c>
      <c r="K51" s="10">
        <f t="shared" si="7"/>
        <v>-174122.47981244518</v>
      </c>
    </row>
    <row r="52" spans="1:11" x14ac:dyDescent="0.3">
      <c r="A52">
        <f t="shared" si="9"/>
        <v>51</v>
      </c>
      <c r="B52">
        <f t="shared" si="8"/>
        <v>85</v>
      </c>
      <c r="C52" s="10">
        <f t="shared" si="15"/>
        <v>0</v>
      </c>
      <c r="D52" s="10">
        <f t="shared" si="11"/>
        <v>0</v>
      </c>
      <c r="E52" s="10">
        <f t="shared" si="16"/>
        <v>197275.77084181935</v>
      </c>
      <c r="F52" s="10">
        <f t="shared" si="12"/>
        <v>0</v>
      </c>
      <c r="G52" s="10">
        <f t="shared" si="10"/>
        <v>116000.7667086033</v>
      </c>
      <c r="H52" s="10">
        <f t="shared" si="13"/>
        <v>6960.0460025161983</v>
      </c>
      <c r="I52" s="10">
        <f t="shared" si="14"/>
        <v>197275.77084181935</v>
      </c>
      <c r="J52" s="10">
        <f t="shared" si="6"/>
        <v>-74314.958130699844</v>
      </c>
      <c r="K52" s="10">
        <f t="shared" si="7"/>
        <v>-190315.72483930315</v>
      </c>
    </row>
    <row r="53" spans="1:11" x14ac:dyDescent="0.3">
      <c r="A53">
        <f t="shared" si="9"/>
        <v>52</v>
      </c>
      <c r="B53">
        <f t="shared" si="8"/>
        <v>86</v>
      </c>
      <c r="C53" s="10">
        <f t="shared" si="15"/>
        <v>0</v>
      </c>
      <c r="D53" s="10">
        <f t="shared" si="11"/>
        <v>0</v>
      </c>
      <c r="E53" s="10">
        <f t="shared" si="16"/>
        <v>203194.04396707393</v>
      </c>
      <c r="F53" s="10">
        <f t="shared" si="12"/>
        <v>0</v>
      </c>
      <c r="G53" s="10">
        <f t="shared" si="10"/>
        <v>-74314.958130699844</v>
      </c>
      <c r="H53" s="10">
        <f t="shared" si="13"/>
        <v>-4458.8974878419904</v>
      </c>
      <c r="I53" s="10">
        <f t="shared" si="14"/>
        <v>203194.04396707393</v>
      </c>
      <c r="J53" s="10">
        <f t="shared" si="6"/>
        <v>-281967.89958561573</v>
      </c>
      <c r="K53" s="10">
        <f t="shared" si="7"/>
        <v>-207652.94145491588</v>
      </c>
    </row>
    <row r="54" spans="1:11" x14ac:dyDescent="0.3">
      <c r="A54">
        <f t="shared" si="9"/>
        <v>53</v>
      </c>
      <c r="B54">
        <f t="shared" si="8"/>
        <v>87</v>
      </c>
      <c r="C54" s="10">
        <f t="shared" si="15"/>
        <v>0</v>
      </c>
      <c r="D54" s="10">
        <f t="shared" si="11"/>
        <v>0</v>
      </c>
      <c r="E54" s="10">
        <f t="shared" si="16"/>
        <v>209289.86528608616</v>
      </c>
      <c r="F54" s="10">
        <f t="shared" si="12"/>
        <v>0</v>
      </c>
      <c r="G54" s="10">
        <f t="shared" si="10"/>
        <v>-281967.89958561573</v>
      </c>
      <c r="H54" s="10">
        <f t="shared" si="13"/>
        <v>-16918.073975136944</v>
      </c>
      <c r="I54" s="10">
        <f t="shared" si="14"/>
        <v>209289.86528608616</v>
      </c>
      <c r="J54" s="10">
        <f t="shared" si="6"/>
        <v>-508175.83884683886</v>
      </c>
      <c r="K54" s="10">
        <f t="shared" si="7"/>
        <v>-226207.93926122313</v>
      </c>
    </row>
    <row r="55" spans="1:11" x14ac:dyDescent="0.3">
      <c r="A55">
        <f t="shared" si="9"/>
        <v>54</v>
      </c>
      <c r="B55">
        <f t="shared" si="8"/>
        <v>88</v>
      </c>
      <c r="C55" s="10">
        <f t="shared" si="15"/>
        <v>0</v>
      </c>
      <c r="D55" s="10">
        <f t="shared" si="11"/>
        <v>0</v>
      </c>
      <c r="E55" s="10">
        <f t="shared" si="16"/>
        <v>215568.56124466876</v>
      </c>
      <c r="F55" s="10">
        <f t="shared" si="12"/>
        <v>0</v>
      </c>
      <c r="G55" s="10">
        <f t="shared" si="10"/>
        <v>-508175.83884683886</v>
      </c>
      <c r="H55" s="10">
        <f t="shared" si="13"/>
        <v>-30490.550330810329</v>
      </c>
      <c r="I55" s="10">
        <f t="shared" si="14"/>
        <v>215568.56124466876</v>
      </c>
      <c r="J55" s="10">
        <f t="shared" si="6"/>
        <v>-754234.95042231795</v>
      </c>
      <c r="K55" s="10">
        <f t="shared" si="7"/>
        <v>-246059.1115754791</v>
      </c>
    </row>
    <row r="56" spans="1:11" x14ac:dyDescent="0.3">
      <c r="A56">
        <f t="shared" si="9"/>
        <v>55</v>
      </c>
      <c r="B56">
        <f t="shared" si="8"/>
        <v>89</v>
      </c>
      <c r="C56" s="10">
        <f t="shared" si="15"/>
        <v>0</v>
      </c>
      <c r="D56" s="10">
        <f t="shared" si="11"/>
        <v>0</v>
      </c>
      <c r="E56" s="10">
        <f t="shared" si="16"/>
        <v>222035.61808200882</v>
      </c>
      <c r="F56" s="10">
        <f t="shared" si="12"/>
        <v>0</v>
      </c>
      <c r="G56" s="10">
        <f t="shared" si="10"/>
        <v>-754234.95042231795</v>
      </c>
      <c r="H56" s="10">
        <f t="shared" si="13"/>
        <v>-45254.097025339077</v>
      </c>
      <c r="I56" s="10">
        <f t="shared" si="14"/>
        <v>222035.61808200882</v>
      </c>
      <c r="J56" s="10">
        <f t="shared" si="6"/>
        <v>-1021524.6655296658</v>
      </c>
      <c r="K56" s="10">
        <f t="shared" si="7"/>
        <v>-267289.71510734782</v>
      </c>
    </row>
    <row r="57" spans="1:11" x14ac:dyDescent="0.3">
      <c r="A57">
        <f t="shared" si="9"/>
        <v>56</v>
      </c>
      <c r="B57">
        <f t="shared" si="8"/>
        <v>90</v>
      </c>
      <c r="C57" s="10">
        <f t="shared" si="15"/>
        <v>0</v>
      </c>
      <c r="D57" s="10">
        <f t="shared" si="11"/>
        <v>0</v>
      </c>
      <c r="E57" s="10">
        <f t="shared" si="16"/>
        <v>228696.68662446909</v>
      </c>
      <c r="F57" s="10">
        <f t="shared" si="12"/>
        <v>0</v>
      </c>
      <c r="G57" s="10">
        <f t="shared" si="10"/>
        <v>-1021524.6655296658</v>
      </c>
      <c r="H57" s="10">
        <f t="shared" si="13"/>
        <v>-61291.479931779941</v>
      </c>
      <c r="I57" s="10">
        <f t="shared" si="14"/>
        <v>228696.68662446909</v>
      </c>
      <c r="J57" s="10">
        <f t="shared" si="6"/>
        <v>-1311512.8320859147</v>
      </c>
      <c r="K57" s="10">
        <f t="shared" si="7"/>
        <v>-289988.16655624891</v>
      </c>
    </row>
    <row r="58" spans="1:11" x14ac:dyDescent="0.3">
      <c r="A58">
        <f t="shared" si="9"/>
        <v>57</v>
      </c>
      <c r="B58">
        <f t="shared" si="8"/>
        <v>91</v>
      </c>
      <c r="C58" s="10">
        <f t="shared" si="15"/>
        <v>0</v>
      </c>
      <c r="D58" s="10">
        <f t="shared" si="11"/>
        <v>0</v>
      </c>
      <c r="E58" s="10">
        <f t="shared" si="16"/>
        <v>235557.58722320315</v>
      </c>
      <c r="F58" s="10">
        <f t="shared" si="12"/>
        <v>0</v>
      </c>
      <c r="G58" s="10">
        <f t="shared" si="10"/>
        <v>-1311512.8320859147</v>
      </c>
      <c r="H58" s="10">
        <f t="shared" si="13"/>
        <v>-78690.769925154877</v>
      </c>
      <c r="I58" s="10">
        <f t="shared" si="14"/>
        <v>235557.58722320315</v>
      </c>
      <c r="J58" s="10">
        <f t="shared" si="6"/>
        <v>-1625761.1892342728</v>
      </c>
      <c r="K58" s="10">
        <f t="shared" si="7"/>
        <v>-314248.35714835813</v>
      </c>
    </row>
    <row r="59" spans="1:11" x14ac:dyDescent="0.3">
      <c r="A59">
        <f t="shared" si="9"/>
        <v>58</v>
      </c>
      <c r="B59">
        <f t="shared" si="8"/>
        <v>92</v>
      </c>
      <c r="C59" s="10">
        <f t="shared" si="15"/>
        <v>0</v>
      </c>
      <c r="D59" s="10">
        <f t="shared" si="11"/>
        <v>0</v>
      </c>
      <c r="E59" s="10">
        <f t="shared" si="16"/>
        <v>242624.31483989925</v>
      </c>
      <c r="F59" s="10">
        <f t="shared" si="12"/>
        <v>0</v>
      </c>
      <c r="G59" s="10">
        <f t="shared" si="10"/>
        <v>-1625761.1892342728</v>
      </c>
      <c r="H59" s="10">
        <f t="shared" si="13"/>
        <v>-97545.671354056365</v>
      </c>
      <c r="I59" s="10">
        <f t="shared" si="14"/>
        <v>242624.31483989925</v>
      </c>
      <c r="J59" s="10">
        <f t="shared" si="6"/>
        <v>-1965931.1754282285</v>
      </c>
      <c r="K59" s="10">
        <f t="shared" si="7"/>
        <v>-340169.98619395564</v>
      </c>
    </row>
    <row r="60" spans="1:11" x14ac:dyDescent="0.3">
      <c r="A60">
        <f t="shared" si="9"/>
        <v>59</v>
      </c>
      <c r="B60">
        <f t="shared" si="8"/>
        <v>93</v>
      </c>
      <c r="C60" s="10">
        <f t="shared" si="15"/>
        <v>0</v>
      </c>
      <c r="D60" s="10">
        <f t="shared" si="11"/>
        <v>0</v>
      </c>
      <c r="E60" s="10">
        <f t="shared" si="16"/>
        <v>249903.04428509623</v>
      </c>
      <c r="F60" s="10">
        <f t="shared" si="12"/>
        <v>0</v>
      </c>
      <c r="G60" s="10">
        <f t="shared" si="10"/>
        <v>-1965931.1754282285</v>
      </c>
      <c r="H60" s="10">
        <f t="shared" si="13"/>
        <v>-117955.8705256937</v>
      </c>
      <c r="I60" s="10">
        <f t="shared" si="14"/>
        <v>249903.04428509623</v>
      </c>
      <c r="J60" s="10">
        <f t="shared" si="6"/>
        <v>-2333790.0902390182</v>
      </c>
      <c r="K60" s="10">
        <f t="shared" si="7"/>
        <v>-367858.91481078975</v>
      </c>
    </row>
    <row r="61" spans="1:11" x14ac:dyDescent="0.3">
      <c r="A61">
        <f t="shared" si="9"/>
        <v>60</v>
      </c>
      <c r="B61">
        <f t="shared" si="8"/>
        <v>94</v>
      </c>
      <c r="C61" s="10">
        <f t="shared" si="15"/>
        <v>0</v>
      </c>
      <c r="D61" s="10">
        <f t="shared" si="11"/>
        <v>0</v>
      </c>
      <c r="E61" s="10">
        <f t="shared" si="16"/>
        <v>257400.13561364912</v>
      </c>
      <c r="F61" s="10">
        <f t="shared" si="12"/>
        <v>0</v>
      </c>
      <c r="G61" s="10">
        <f t="shared" si="10"/>
        <v>-2333790.0902390182</v>
      </c>
      <c r="H61" s="10">
        <f t="shared" si="13"/>
        <v>-140027.40541434108</v>
      </c>
      <c r="I61" s="10">
        <f t="shared" si="14"/>
        <v>257400.13561364912</v>
      </c>
      <c r="J61" s="10">
        <f t="shared" si="6"/>
        <v>-2731217.6312670084</v>
      </c>
      <c r="K61" s="10">
        <f t="shared" si="7"/>
        <v>-397427.54102799017</v>
      </c>
    </row>
    <row r="62" spans="1:11" x14ac:dyDescent="0.3">
      <c r="A62">
        <f t="shared" si="9"/>
        <v>61</v>
      </c>
      <c r="B62">
        <f t="shared" si="8"/>
        <v>95</v>
      </c>
      <c r="C62" s="10">
        <f t="shared" si="15"/>
        <v>0</v>
      </c>
      <c r="D62" s="10">
        <f t="shared" si="11"/>
        <v>0</v>
      </c>
      <c r="E62" s="10">
        <f t="shared" si="16"/>
        <v>265122.13968205859</v>
      </c>
      <c r="F62" s="10">
        <f t="shared" si="12"/>
        <v>0</v>
      </c>
      <c r="G62" s="10">
        <f t="shared" si="10"/>
        <v>-2731217.6312670084</v>
      </c>
      <c r="H62" s="10">
        <f t="shared" si="13"/>
        <v>-163873.0578760205</v>
      </c>
      <c r="I62" s="10">
        <f t="shared" si="14"/>
        <v>265122.13968205859</v>
      </c>
      <c r="J62" s="10">
        <f t="shared" si="6"/>
        <v>-3160212.8288250878</v>
      </c>
      <c r="K62" s="10">
        <f t="shared" si="7"/>
        <v>-428995.19755807938</v>
      </c>
    </row>
    <row r="63" spans="1:11" x14ac:dyDescent="0.3">
      <c r="A63">
        <f t="shared" si="9"/>
        <v>62</v>
      </c>
      <c r="B63">
        <f t="shared" si="8"/>
        <v>96</v>
      </c>
      <c r="C63" s="10">
        <f t="shared" si="15"/>
        <v>0</v>
      </c>
      <c r="D63" s="10">
        <f t="shared" si="11"/>
        <v>0</v>
      </c>
      <c r="E63" s="10">
        <f t="shared" si="16"/>
        <v>273075.80387252034</v>
      </c>
      <c r="F63" s="10">
        <f t="shared" si="12"/>
        <v>0</v>
      </c>
      <c r="G63" s="10">
        <f t="shared" si="10"/>
        <v>-3160212.8288250878</v>
      </c>
      <c r="H63" s="10">
        <f t="shared" si="13"/>
        <v>-189612.76972950526</v>
      </c>
      <c r="I63" s="10">
        <f t="shared" si="14"/>
        <v>273075.80387252034</v>
      </c>
      <c r="J63" s="10">
        <f t="shared" si="6"/>
        <v>-3622901.4024271136</v>
      </c>
      <c r="K63" s="10">
        <f t="shared" si="7"/>
        <v>-462688.57360202586</v>
      </c>
    </row>
    <row r="64" spans="1:11" x14ac:dyDescent="0.3">
      <c r="A64">
        <f t="shared" si="9"/>
        <v>63</v>
      </c>
      <c r="B64">
        <f t="shared" si="8"/>
        <v>97</v>
      </c>
      <c r="C64" s="10">
        <f t="shared" si="15"/>
        <v>0</v>
      </c>
      <c r="D64" s="10">
        <f t="shared" si="11"/>
        <v>0</v>
      </c>
      <c r="E64" s="10">
        <f t="shared" si="16"/>
        <v>281268.07798869594</v>
      </c>
      <c r="F64" s="10">
        <f t="shared" si="12"/>
        <v>0</v>
      </c>
      <c r="G64" s="10">
        <f t="shared" si="10"/>
        <v>-3622901.4024271136</v>
      </c>
      <c r="H64" s="10">
        <f t="shared" si="13"/>
        <v>-217374.08414562681</v>
      </c>
      <c r="I64" s="10">
        <f t="shared" si="14"/>
        <v>281268.07798869594</v>
      </c>
      <c r="J64" s="10">
        <f t="shared" si="6"/>
        <v>-4121543.5645614364</v>
      </c>
      <c r="K64" s="10">
        <f t="shared" si="7"/>
        <v>-498642.1621343228</v>
      </c>
    </row>
    <row r="65" spans="1:11" x14ac:dyDescent="0.3">
      <c r="A65">
        <f t="shared" si="9"/>
        <v>64</v>
      </c>
      <c r="B65">
        <f t="shared" si="8"/>
        <v>98</v>
      </c>
      <c r="C65" s="10">
        <f t="shared" si="15"/>
        <v>0</v>
      </c>
      <c r="D65" s="10">
        <f t="shared" si="11"/>
        <v>0</v>
      </c>
      <c r="E65" s="10">
        <f t="shared" si="16"/>
        <v>289706.1203283568</v>
      </c>
      <c r="F65" s="10">
        <f t="shared" si="12"/>
        <v>0</v>
      </c>
      <c r="G65" s="10">
        <f t="shared" si="10"/>
        <v>-4121543.5645614364</v>
      </c>
      <c r="H65" s="10">
        <f t="shared" si="13"/>
        <v>-247292.61387368618</v>
      </c>
      <c r="I65" s="10">
        <f t="shared" si="14"/>
        <v>289706.1203283568</v>
      </c>
      <c r="J65" s="10">
        <f t="shared" si="6"/>
        <v>-4658542.2987634791</v>
      </c>
      <c r="K65" s="10">
        <f t="shared" si="7"/>
        <v>-536998.73420204269</v>
      </c>
    </row>
    <row r="66" spans="1:11" x14ac:dyDescent="0.3">
      <c r="A66">
        <f t="shared" si="9"/>
        <v>65</v>
      </c>
      <c r="B66">
        <f t="shared" si="8"/>
        <v>99</v>
      </c>
      <c r="C66" s="10">
        <f t="shared" si="15"/>
        <v>0</v>
      </c>
      <c r="D66" s="10">
        <f t="shared" ref="D66:D97" si="17">C66*tax_rate</f>
        <v>0</v>
      </c>
      <c r="E66" s="10">
        <f t="shared" si="16"/>
        <v>298397.30393820751</v>
      </c>
      <c r="F66" s="10">
        <f t="shared" ref="F66:F97" si="18">IF($B66&lt;retirement_age,C66-D66-E66,0)</f>
        <v>0</v>
      </c>
      <c r="G66" s="10">
        <f t="shared" si="10"/>
        <v>-4658542.2987634791</v>
      </c>
      <c r="H66" s="10">
        <f t="shared" ref="H66:H97" si="19">IF(B66&lt;retirement_age,G66*investment_return_pre,G66*investment_return_post)</f>
        <v>-279512.53792580875</v>
      </c>
      <c r="I66" s="10">
        <f t="shared" ref="I66:I101" si="20">IF($B66&lt;retirement_age,0,E66)</f>
        <v>298397.30393820751</v>
      </c>
      <c r="J66" s="10">
        <f t="shared" si="6"/>
        <v>-5236452.140627495</v>
      </c>
      <c r="K66" s="10">
        <f t="shared" si="7"/>
        <v>-577909.84186401591</v>
      </c>
    </row>
    <row r="67" spans="1:11" x14ac:dyDescent="0.3">
      <c r="A67">
        <f t="shared" si="9"/>
        <v>66</v>
      </c>
      <c r="B67">
        <f t="shared" si="8"/>
        <v>100</v>
      </c>
      <c r="C67" s="10">
        <f t="shared" ref="C67:C101" si="21">IF($B67&lt;retirement_age,C66*(1+annual_income_increase),0)</f>
        <v>0</v>
      </c>
      <c r="D67" s="10">
        <f t="shared" si="17"/>
        <v>0</v>
      </c>
      <c r="E67" s="10">
        <f t="shared" ref="E67:E101" si="22">E66*(1+annual_inflation)</f>
        <v>307349.22305635375</v>
      </c>
      <c r="F67" s="10">
        <f t="shared" si="18"/>
        <v>0</v>
      </c>
      <c r="G67" s="10">
        <f t="shared" si="10"/>
        <v>-5236452.140627495</v>
      </c>
      <c r="H67" s="10">
        <f t="shared" si="19"/>
        <v>-314187.12843764969</v>
      </c>
      <c r="I67" s="10">
        <f t="shared" si="20"/>
        <v>307349.22305635375</v>
      </c>
      <c r="J67" s="10">
        <f t="shared" ref="J67:J101" si="23">G67+H67+F67-I67</f>
        <v>-5857988.4921214981</v>
      </c>
      <c r="K67" s="10">
        <f t="shared" ref="K67:K101" si="24">J67-G67</f>
        <v>-621536.35149400309</v>
      </c>
    </row>
    <row r="68" spans="1:11" x14ac:dyDescent="0.3">
      <c r="A68">
        <f t="shared" si="9"/>
        <v>67</v>
      </c>
      <c r="B68">
        <f t="shared" ref="B68:B101" si="25">B67+1</f>
        <v>101</v>
      </c>
      <c r="C68" s="10">
        <f t="shared" si="21"/>
        <v>0</v>
      </c>
      <c r="D68" s="10">
        <f t="shared" si="17"/>
        <v>0</v>
      </c>
      <c r="E68" s="10">
        <f t="shared" si="22"/>
        <v>316569.69974804437</v>
      </c>
      <c r="F68" s="10">
        <f t="shared" si="18"/>
        <v>0</v>
      </c>
      <c r="G68" s="10">
        <f t="shared" si="10"/>
        <v>-5857988.4921214981</v>
      </c>
      <c r="H68" s="10">
        <f t="shared" si="19"/>
        <v>-351479.30952728988</v>
      </c>
      <c r="I68" s="10">
        <f t="shared" si="20"/>
        <v>316569.69974804437</v>
      </c>
      <c r="J68" s="10">
        <f t="shared" si="23"/>
        <v>-6526037.501396833</v>
      </c>
      <c r="K68" s="10">
        <f t="shared" si="24"/>
        <v>-668049.00927533489</v>
      </c>
    </row>
    <row r="69" spans="1:11" x14ac:dyDescent="0.3">
      <c r="A69">
        <f t="shared" ref="A69:A101" si="26">A68+1</f>
        <v>68</v>
      </c>
      <c r="B69">
        <f t="shared" si="25"/>
        <v>102</v>
      </c>
      <c r="C69" s="10">
        <f t="shared" si="21"/>
        <v>0</v>
      </c>
      <c r="D69" s="10">
        <f t="shared" si="17"/>
        <v>0</v>
      </c>
      <c r="E69" s="10">
        <f t="shared" si="22"/>
        <v>326066.79074048571</v>
      </c>
      <c r="F69" s="10">
        <f t="shared" si="18"/>
        <v>0</v>
      </c>
      <c r="G69" s="10">
        <f t="shared" ref="G69:G101" si="27">J68</f>
        <v>-6526037.501396833</v>
      </c>
      <c r="H69" s="10">
        <f t="shared" si="19"/>
        <v>-391562.25008380995</v>
      </c>
      <c r="I69" s="10">
        <f t="shared" si="20"/>
        <v>326066.79074048571</v>
      </c>
      <c r="J69" s="10">
        <f t="shared" si="23"/>
        <v>-7243666.542221128</v>
      </c>
      <c r="K69" s="10">
        <f t="shared" si="24"/>
        <v>-717629.04082429502</v>
      </c>
    </row>
    <row r="70" spans="1:11" x14ac:dyDescent="0.3">
      <c r="A70">
        <f t="shared" si="26"/>
        <v>69</v>
      </c>
      <c r="B70">
        <f t="shared" si="25"/>
        <v>103</v>
      </c>
      <c r="C70" s="10">
        <f t="shared" si="21"/>
        <v>0</v>
      </c>
      <c r="D70" s="10">
        <f t="shared" si="17"/>
        <v>0</v>
      </c>
      <c r="E70" s="10">
        <f t="shared" si="22"/>
        <v>335848.79446270032</v>
      </c>
      <c r="F70" s="10">
        <f t="shared" si="18"/>
        <v>0</v>
      </c>
      <c r="G70" s="10">
        <f t="shared" si="27"/>
        <v>-7243666.542221128</v>
      </c>
      <c r="H70" s="10">
        <f t="shared" si="19"/>
        <v>-434619.99253326765</v>
      </c>
      <c r="I70" s="10">
        <f t="shared" si="20"/>
        <v>335848.79446270032</v>
      </c>
      <c r="J70" s="10">
        <f t="shared" si="23"/>
        <v>-8014135.3292170959</v>
      </c>
      <c r="K70" s="10">
        <f t="shared" si="24"/>
        <v>-770468.78699596785</v>
      </c>
    </row>
    <row r="71" spans="1:11" x14ac:dyDescent="0.3">
      <c r="A71">
        <f t="shared" si="26"/>
        <v>70</v>
      </c>
      <c r="B71">
        <f t="shared" si="25"/>
        <v>104</v>
      </c>
      <c r="C71" s="10">
        <f t="shared" si="21"/>
        <v>0</v>
      </c>
      <c r="D71" s="10">
        <f t="shared" si="17"/>
        <v>0</v>
      </c>
      <c r="E71" s="10">
        <f t="shared" si="22"/>
        <v>345924.25829658133</v>
      </c>
      <c r="F71" s="10">
        <f t="shared" si="18"/>
        <v>0</v>
      </c>
      <c r="G71" s="10">
        <f t="shared" si="27"/>
        <v>-8014135.3292170959</v>
      </c>
      <c r="H71" s="10">
        <f t="shared" si="19"/>
        <v>-480848.1197530257</v>
      </c>
      <c r="I71" s="10">
        <f t="shared" si="20"/>
        <v>345924.25829658133</v>
      </c>
      <c r="J71" s="10">
        <f t="shared" si="23"/>
        <v>-8840907.7072667032</v>
      </c>
      <c r="K71" s="10">
        <f t="shared" si="24"/>
        <v>-826772.37804960739</v>
      </c>
    </row>
    <row r="72" spans="1:11" x14ac:dyDescent="0.3">
      <c r="A72">
        <f t="shared" si="26"/>
        <v>71</v>
      </c>
      <c r="B72">
        <f t="shared" si="25"/>
        <v>105</v>
      </c>
      <c r="C72" s="10">
        <f t="shared" si="21"/>
        <v>0</v>
      </c>
      <c r="D72" s="10">
        <f t="shared" si="17"/>
        <v>0</v>
      </c>
      <c r="E72" s="10">
        <f t="shared" si="22"/>
        <v>356301.98604547878</v>
      </c>
      <c r="F72" s="10">
        <f t="shared" si="18"/>
        <v>0</v>
      </c>
      <c r="G72" s="10">
        <f t="shared" si="27"/>
        <v>-8840907.7072667032</v>
      </c>
      <c r="H72" s="10">
        <f t="shared" si="19"/>
        <v>-530454.46243600221</v>
      </c>
      <c r="I72" s="10">
        <f t="shared" si="20"/>
        <v>356301.98604547878</v>
      </c>
      <c r="J72" s="10">
        <f t="shared" si="23"/>
        <v>-9727664.1557481829</v>
      </c>
      <c r="K72" s="10">
        <f t="shared" si="24"/>
        <v>-886756.44848147966</v>
      </c>
    </row>
    <row r="73" spans="1:11" x14ac:dyDescent="0.3">
      <c r="A73">
        <f t="shared" si="26"/>
        <v>72</v>
      </c>
      <c r="B73">
        <f t="shared" si="25"/>
        <v>106</v>
      </c>
      <c r="C73" s="10">
        <f t="shared" si="21"/>
        <v>0</v>
      </c>
      <c r="D73" s="10">
        <f t="shared" si="17"/>
        <v>0</v>
      </c>
      <c r="E73" s="10">
        <f t="shared" si="22"/>
        <v>366991.04562684317</v>
      </c>
      <c r="F73" s="10">
        <f t="shared" si="18"/>
        <v>0</v>
      </c>
      <c r="G73" s="10">
        <f t="shared" si="27"/>
        <v>-9727664.1557481829</v>
      </c>
      <c r="H73" s="10">
        <f t="shared" si="19"/>
        <v>-583659.84934489091</v>
      </c>
      <c r="I73" s="10">
        <f t="shared" si="20"/>
        <v>366991.04562684317</v>
      </c>
      <c r="J73" s="10">
        <f t="shared" si="23"/>
        <v>-10678315.050719917</v>
      </c>
      <c r="K73" s="10">
        <f t="shared" si="24"/>
        <v>-950650.89497173391</v>
      </c>
    </row>
    <row r="74" spans="1:11" x14ac:dyDescent="0.3">
      <c r="A74">
        <f t="shared" si="26"/>
        <v>73</v>
      </c>
      <c r="B74">
        <f t="shared" si="25"/>
        <v>107</v>
      </c>
      <c r="C74" s="10">
        <f t="shared" si="21"/>
        <v>0</v>
      </c>
      <c r="D74" s="10">
        <f t="shared" si="17"/>
        <v>0</v>
      </c>
      <c r="E74" s="10">
        <f t="shared" si="22"/>
        <v>378000.77699564846</v>
      </c>
      <c r="F74" s="10">
        <f t="shared" si="18"/>
        <v>0</v>
      </c>
      <c r="G74" s="10">
        <f t="shared" si="27"/>
        <v>-10678315.050719917</v>
      </c>
      <c r="H74" s="10">
        <f t="shared" si="19"/>
        <v>-640698.90304319502</v>
      </c>
      <c r="I74" s="10">
        <f t="shared" si="20"/>
        <v>378000.77699564846</v>
      </c>
      <c r="J74" s="10">
        <f t="shared" si="23"/>
        <v>-11697014.73075876</v>
      </c>
      <c r="K74" s="10">
        <f t="shared" si="24"/>
        <v>-1018699.6800388433</v>
      </c>
    </row>
    <row r="75" spans="1:11" x14ac:dyDescent="0.3">
      <c r="A75">
        <f t="shared" si="26"/>
        <v>74</v>
      </c>
      <c r="B75">
        <f t="shared" si="25"/>
        <v>108</v>
      </c>
      <c r="C75" s="10">
        <f t="shared" si="21"/>
        <v>0</v>
      </c>
      <c r="D75" s="10">
        <f t="shared" si="17"/>
        <v>0</v>
      </c>
      <c r="E75" s="10">
        <f t="shared" si="22"/>
        <v>389340.80030551791</v>
      </c>
      <c r="F75" s="10">
        <f t="shared" si="18"/>
        <v>0</v>
      </c>
      <c r="G75" s="10">
        <f t="shared" si="27"/>
        <v>-11697014.73075876</v>
      </c>
      <c r="H75" s="10">
        <f t="shared" si="19"/>
        <v>-701820.88384552556</v>
      </c>
      <c r="I75" s="10">
        <f t="shared" si="20"/>
        <v>389340.80030551791</v>
      </c>
      <c r="J75" s="10">
        <f t="shared" si="23"/>
        <v>-12788176.414909802</v>
      </c>
      <c r="K75" s="10">
        <f t="shared" si="24"/>
        <v>-1091161.6841510423</v>
      </c>
    </row>
    <row r="76" spans="1:11" x14ac:dyDescent="0.3">
      <c r="A76">
        <f t="shared" si="26"/>
        <v>75</v>
      </c>
      <c r="B76">
        <f t="shared" si="25"/>
        <v>109</v>
      </c>
      <c r="C76" s="10">
        <f t="shared" si="21"/>
        <v>0</v>
      </c>
      <c r="D76" s="10">
        <f t="shared" si="17"/>
        <v>0</v>
      </c>
      <c r="E76" s="10">
        <f t="shared" si="22"/>
        <v>401021.02431468345</v>
      </c>
      <c r="F76" s="10">
        <f t="shared" si="18"/>
        <v>0</v>
      </c>
      <c r="G76" s="10">
        <f t="shared" si="27"/>
        <v>-12788176.414909802</v>
      </c>
      <c r="H76" s="10">
        <f t="shared" si="19"/>
        <v>-767290.5848945881</v>
      </c>
      <c r="I76" s="10">
        <f t="shared" si="20"/>
        <v>401021.02431468345</v>
      </c>
      <c r="J76" s="10">
        <f t="shared" si="23"/>
        <v>-13956488.024119074</v>
      </c>
      <c r="K76" s="10">
        <f t="shared" si="24"/>
        <v>-1168311.6092092711</v>
      </c>
    </row>
    <row r="77" spans="1:11" x14ac:dyDescent="0.3">
      <c r="A77">
        <f t="shared" si="26"/>
        <v>76</v>
      </c>
      <c r="B77">
        <f t="shared" si="25"/>
        <v>110</v>
      </c>
      <c r="C77" s="10">
        <f t="shared" si="21"/>
        <v>0</v>
      </c>
      <c r="D77" s="10">
        <f t="shared" si="17"/>
        <v>0</v>
      </c>
      <c r="E77" s="10">
        <f t="shared" si="22"/>
        <v>413051.655044124</v>
      </c>
      <c r="F77" s="10">
        <f t="shared" si="18"/>
        <v>0</v>
      </c>
      <c r="G77" s="10">
        <f t="shared" si="27"/>
        <v>-13956488.024119074</v>
      </c>
      <c r="H77" s="10">
        <f t="shared" si="19"/>
        <v>-837389.28144714434</v>
      </c>
      <c r="I77" s="10">
        <f t="shared" si="20"/>
        <v>413051.655044124</v>
      </c>
      <c r="J77" s="10">
        <f t="shared" si="23"/>
        <v>-15206928.960610341</v>
      </c>
      <c r="K77" s="10">
        <f t="shared" si="24"/>
        <v>-1250440.9364912678</v>
      </c>
    </row>
    <row r="78" spans="1:11" x14ac:dyDescent="0.3">
      <c r="A78">
        <f t="shared" si="26"/>
        <v>77</v>
      </c>
      <c r="B78">
        <f t="shared" si="25"/>
        <v>111</v>
      </c>
      <c r="C78" s="10">
        <f t="shared" si="21"/>
        <v>0</v>
      </c>
      <c r="D78" s="10">
        <f t="shared" si="17"/>
        <v>0</v>
      </c>
      <c r="E78" s="10">
        <f t="shared" si="22"/>
        <v>425443.20469544776</v>
      </c>
      <c r="F78" s="10">
        <f t="shared" si="18"/>
        <v>0</v>
      </c>
      <c r="G78" s="10">
        <f t="shared" si="27"/>
        <v>-15206928.960610341</v>
      </c>
      <c r="H78" s="10">
        <f t="shared" si="19"/>
        <v>-912415.73763662041</v>
      </c>
      <c r="I78" s="10">
        <f t="shared" si="20"/>
        <v>425443.20469544776</v>
      </c>
      <c r="J78" s="10">
        <f t="shared" si="23"/>
        <v>-16544787.90294241</v>
      </c>
      <c r="K78" s="10">
        <f t="shared" si="24"/>
        <v>-1337858.9423320685</v>
      </c>
    </row>
    <row r="79" spans="1:11" x14ac:dyDescent="0.3">
      <c r="A79">
        <f t="shared" si="26"/>
        <v>78</v>
      </c>
      <c r="B79">
        <f t="shared" si="25"/>
        <v>112</v>
      </c>
      <c r="C79" s="10">
        <f t="shared" si="21"/>
        <v>0</v>
      </c>
      <c r="D79" s="10">
        <f t="shared" si="17"/>
        <v>0</v>
      </c>
      <c r="E79" s="10">
        <f t="shared" si="22"/>
        <v>438206.5008363112</v>
      </c>
      <c r="F79" s="10">
        <f t="shared" si="18"/>
        <v>0</v>
      </c>
      <c r="G79" s="10">
        <f t="shared" si="27"/>
        <v>-16544787.90294241</v>
      </c>
      <c r="H79" s="10">
        <f t="shared" si="19"/>
        <v>-992687.27417654451</v>
      </c>
      <c r="I79" s="10">
        <f t="shared" si="20"/>
        <v>438206.5008363112</v>
      </c>
      <c r="J79" s="10">
        <f t="shared" si="23"/>
        <v>-17975681.677955266</v>
      </c>
      <c r="K79" s="10">
        <f t="shared" si="24"/>
        <v>-1430893.7750128563</v>
      </c>
    </row>
    <row r="80" spans="1:11" x14ac:dyDescent="0.3">
      <c r="A80">
        <f t="shared" si="26"/>
        <v>79</v>
      </c>
      <c r="B80">
        <f t="shared" si="25"/>
        <v>113</v>
      </c>
      <c r="C80" s="10">
        <f t="shared" si="21"/>
        <v>0</v>
      </c>
      <c r="D80" s="10">
        <f t="shared" si="17"/>
        <v>0</v>
      </c>
      <c r="E80" s="10">
        <f t="shared" si="22"/>
        <v>451352.69586140057</v>
      </c>
      <c r="F80" s="10">
        <f t="shared" si="18"/>
        <v>0</v>
      </c>
      <c r="G80" s="10">
        <f t="shared" si="27"/>
        <v>-17975681.677955266</v>
      </c>
      <c r="H80" s="10">
        <f t="shared" si="19"/>
        <v>-1078540.9006773159</v>
      </c>
      <c r="I80" s="10">
        <f t="shared" si="20"/>
        <v>451352.69586140057</v>
      </c>
      <c r="J80" s="10">
        <f t="shared" si="23"/>
        <v>-19505575.274493981</v>
      </c>
      <c r="K80" s="10">
        <f t="shared" si="24"/>
        <v>-1529893.5965387151</v>
      </c>
    </row>
    <row r="81" spans="1:11" x14ac:dyDescent="0.3">
      <c r="A81">
        <f t="shared" si="26"/>
        <v>80</v>
      </c>
      <c r="B81">
        <f t="shared" si="25"/>
        <v>114</v>
      </c>
      <c r="C81" s="10">
        <f t="shared" si="21"/>
        <v>0</v>
      </c>
      <c r="D81" s="10">
        <f t="shared" si="17"/>
        <v>0</v>
      </c>
      <c r="E81" s="10">
        <f t="shared" si="22"/>
        <v>464893.27673724259</v>
      </c>
      <c r="F81" s="10">
        <f t="shared" si="18"/>
        <v>0</v>
      </c>
      <c r="G81" s="10">
        <f t="shared" si="27"/>
        <v>-19505575.274493981</v>
      </c>
      <c r="H81" s="10">
        <f t="shared" si="19"/>
        <v>-1170334.5164696388</v>
      </c>
      <c r="I81" s="10">
        <f t="shared" si="20"/>
        <v>464893.27673724259</v>
      </c>
      <c r="J81" s="10">
        <f t="shared" si="23"/>
        <v>-21140803.067700863</v>
      </c>
      <c r="K81" s="10">
        <f t="shared" si="24"/>
        <v>-1635227.7932068817</v>
      </c>
    </row>
    <row r="82" spans="1:11" x14ac:dyDescent="0.3">
      <c r="A82">
        <f t="shared" si="26"/>
        <v>81</v>
      </c>
      <c r="B82">
        <f t="shared" si="25"/>
        <v>115</v>
      </c>
      <c r="C82" s="10">
        <f t="shared" si="21"/>
        <v>0</v>
      </c>
      <c r="D82" s="10">
        <f t="shared" si="17"/>
        <v>0</v>
      </c>
      <c r="E82" s="10">
        <f t="shared" si="22"/>
        <v>478840.07503935986</v>
      </c>
      <c r="F82" s="10">
        <f t="shared" si="18"/>
        <v>0</v>
      </c>
      <c r="G82" s="10">
        <f t="shared" si="27"/>
        <v>-21140803.067700863</v>
      </c>
      <c r="H82" s="10">
        <f t="shared" si="19"/>
        <v>-1268448.1840620518</v>
      </c>
      <c r="I82" s="10">
        <f t="shared" si="20"/>
        <v>478840.07503935986</v>
      </c>
      <c r="J82" s="10">
        <f t="shared" si="23"/>
        <v>-22888091.326802276</v>
      </c>
      <c r="K82" s="10">
        <f t="shared" si="24"/>
        <v>-1747288.2591014132</v>
      </c>
    </row>
    <row r="83" spans="1:11" x14ac:dyDescent="0.3">
      <c r="A83">
        <f t="shared" si="26"/>
        <v>82</v>
      </c>
      <c r="B83">
        <f t="shared" si="25"/>
        <v>116</v>
      </c>
      <c r="C83" s="10">
        <f t="shared" si="21"/>
        <v>0</v>
      </c>
      <c r="D83" s="10">
        <f t="shared" si="17"/>
        <v>0</v>
      </c>
      <c r="E83" s="10">
        <f t="shared" si="22"/>
        <v>493205.27729054069</v>
      </c>
      <c r="F83" s="10">
        <f t="shared" si="18"/>
        <v>0</v>
      </c>
      <c r="G83" s="10">
        <f t="shared" si="27"/>
        <v>-22888091.326802276</v>
      </c>
      <c r="H83" s="10">
        <f t="shared" si="19"/>
        <v>-1373285.4796081365</v>
      </c>
      <c r="I83" s="10">
        <f t="shared" si="20"/>
        <v>493205.27729054069</v>
      </c>
      <c r="J83" s="10">
        <f t="shared" si="23"/>
        <v>-24754582.083700955</v>
      </c>
      <c r="K83" s="10">
        <f t="shared" si="24"/>
        <v>-1866490.7568986788</v>
      </c>
    </row>
    <row r="84" spans="1:11" x14ac:dyDescent="0.3">
      <c r="A84">
        <f t="shared" si="26"/>
        <v>83</v>
      </c>
      <c r="B84">
        <f t="shared" si="25"/>
        <v>117</v>
      </c>
      <c r="C84" s="10">
        <f t="shared" si="21"/>
        <v>0</v>
      </c>
      <c r="D84" s="10">
        <f t="shared" si="17"/>
        <v>0</v>
      </c>
      <c r="E84" s="10">
        <f t="shared" si="22"/>
        <v>508001.43560925691</v>
      </c>
      <c r="F84" s="10">
        <f t="shared" si="18"/>
        <v>0</v>
      </c>
      <c r="G84" s="10">
        <f t="shared" si="27"/>
        <v>-24754582.083700955</v>
      </c>
      <c r="H84" s="10">
        <f t="shared" si="19"/>
        <v>-1485274.9250220573</v>
      </c>
      <c r="I84" s="10">
        <f t="shared" si="20"/>
        <v>508001.43560925691</v>
      </c>
      <c r="J84" s="10">
        <f t="shared" si="23"/>
        <v>-26747858.444332272</v>
      </c>
      <c r="K84" s="10">
        <f t="shared" si="24"/>
        <v>-1993276.3606313169</v>
      </c>
    </row>
    <row r="85" spans="1:11" x14ac:dyDescent="0.3">
      <c r="A85">
        <f t="shared" si="26"/>
        <v>84</v>
      </c>
      <c r="B85">
        <f t="shared" si="25"/>
        <v>118</v>
      </c>
      <c r="C85" s="10">
        <f t="shared" si="21"/>
        <v>0</v>
      </c>
      <c r="D85" s="10">
        <f t="shared" si="17"/>
        <v>0</v>
      </c>
      <c r="E85" s="10">
        <f t="shared" si="22"/>
        <v>523241.47867753461</v>
      </c>
      <c r="F85" s="10">
        <f t="shared" si="18"/>
        <v>0</v>
      </c>
      <c r="G85" s="10">
        <f t="shared" si="27"/>
        <v>-26747858.444332272</v>
      </c>
      <c r="H85" s="10">
        <f t="shared" si="19"/>
        <v>-1604871.5066599362</v>
      </c>
      <c r="I85" s="10">
        <f t="shared" si="20"/>
        <v>523241.47867753461</v>
      </c>
      <c r="J85" s="10">
        <f t="shared" si="23"/>
        <v>-28875971.429669742</v>
      </c>
      <c r="K85" s="10">
        <f t="shared" si="24"/>
        <v>-2128112.9853374697</v>
      </c>
    </row>
    <row r="86" spans="1:11" x14ac:dyDescent="0.3">
      <c r="A86">
        <f t="shared" si="26"/>
        <v>85</v>
      </c>
      <c r="B86">
        <f t="shared" si="25"/>
        <v>119</v>
      </c>
      <c r="C86" s="10">
        <f t="shared" si="21"/>
        <v>0</v>
      </c>
      <c r="D86" s="10">
        <f t="shared" si="17"/>
        <v>0</v>
      </c>
      <c r="E86" s="10">
        <f t="shared" si="22"/>
        <v>538938.72303786071</v>
      </c>
      <c r="F86" s="10">
        <f t="shared" si="18"/>
        <v>0</v>
      </c>
      <c r="G86" s="10">
        <f t="shared" si="27"/>
        <v>-28875971.429669742</v>
      </c>
      <c r="H86" s="10">
        <f t="shared" si="19"/>
        <v>-1732558.2857801844</v>
      </c>
      <c r="I86" s="10">
        <f t="shared" si="20"/>
        <v>538938.72303786071</v>
      </c>
      <c r="J86" s="10">
        <f t="shared" si="23"/>
        <v>-31147468.438487787</v>
      </c>
      <c r="K86" s="10">
        <f t="shared" si="24"/>
        <v>-2271497.0088180453</v>
      </c>
    </row>
    <row r="87" spans="1:11" x14ac:dyDescent="0.3">
      <c r="A87">
        <f t="shared" si="26"/>
        <v>86</v>
      </c>
      <c r="B87">
        <f t="shared" si="25"/>
        <v>120</v>
      </c>
      <c r="C87" s="10">
        <f t="shared" si="21"/>
        <v>0</v>
      </c>
      <c r="D87" s="10">
        <f t="shared" si="17"/>
        <v>0</v>
      </c>
      <c r="E87" s="10">
        <f t="shared" si="22"/>
        <v>555106.88472899655</v>
      </c>
      <c r="F87" s="10">
        <f t="shared" si="18"/>
        <v>0</v>
      </c>
      <c r="G87" s="10">
        <f t="shared" si="27"/>
        <v>-31147468.438487787</v>
      </c>
      <c r="H87" s="10">
        <f t="shared" si="19"/>
        <v>-1868848.1063092672</v>
      </c>
      <c r="I87" s="10">
        <f t="shared" si="20"/>
        <v>555106.88472899655</v>
      </c>
      <c r="J87" s="10">
        <f t="shared" si="23"/>
        <v>-33571423.429526053</v>
      </c>
      <c r="K87" s="10">
        <f t="shared" si="24"/>
        <v>-2423954.9910382666</v>
      </c>
    </row>
    <row r="88" spans="1:11" x14ac:dyDescent="0.3">
      <c r="A88">
        <f t="shared" si="26"/>
        <v>87</v>
      </c>
      <c r="B88">
        <f t="shared" si="25"/>
        <v>121</v>
      </c>
      <c r="C88" s="10">
        <f t="shared" si="21"/>
        <v>0</v>
      </c>
      <c r="D88" s="10">
        <f t="shared" si="17"/>
        <v>0</v>
      </c>
      <c r="E88" s="10">
        <f t="shared" si="22"/>
        <v>571760.09127086645</v>
      </c>
      <c r="F88" s="10">
        <f t="shared" si="18"/>
        <v>0</v>
      </c>
      <c r="G88" s="10">
        <f t="shared" si="27"/>
        <v>-33571423.429526053</v>
      </c>
      <c r="H88" s="10">
        <f t="shared" si="19"/>
        <v>-2014285.4057715631</v>
      </c>
      <c r="I88" s="10">
        <f t="shared" si="20"/>
        <v>571760.09127086645</v>
      </c>
      <c r="J88" s="10">
        <f t="shared" si="23"/>
        <v>-36157468.926568478</v>
      </c>
      <c r="K88" s="10">
        <f t="shared" si="24"/>
        <v>-2586045.497042425</v>
      </c>
    </row>
    <row r="89" spans="1:11" x14ac:dyDescent="0.3">
      <c r="A89">
        <f t="shared" si="26"/>
        <v>88</v>
      </c>
      <c r="B89">
        <f t="shared" si="25"/>
        <v>122</v>
      </c>
      <c r="C89" s="10">
        <f t="shared" si="21"/>
        <v>0</v>
      </c>
      <c r="D89" s="10">
        <f t="shared" si="17"/>
        <v>0</v>
      </c>
      <c r="E89" s="10">
        <f t="shared" si="22"/>
        <v>588912.89400899247</v>
      </c>
      <c r="F89" s="10">
        <f t="shared" si="18"/>
        <v>0</v>
      </c>
      <c r="G89" s="10">
        <f t="shared" si="27"/>
        <v>-36157468.926568478</v>
      </c>
      <c r="H89" s="10">
        <f t="shared" si="19"/>
        <v>-2169448.1355941086</v>
      </c>
      <c r="I89" s="10">
        <f t="shared" si="20"/>
        <v>588912.89400899247</v>
      </c>
      <c r="J89" s="10">
        <f t="shared" si="23"/>
        <v>-38915829.95617158</v>
      </c>
      <c r="K89" s="10">
        <f t="shared" si="24"/>
        <v>-2758361.0296031013</v>
      </c>
    </row>
    <row r="90" spans="1:11" x14ac:dyDescent="0.3">
      <c r="A90">
        <f t="shared" si="26"/>
        <v>89</v>
      </c>
      <c r="B90">
        <f t="shared" si="25"/>
        <v>123</v>
      </c>
      <c r="C90" s="10">
        <f t="shared" si="21"/>
        <v>0</v>
      </c>
      <c r="D90" s="10">
        <f t="shared" si="17"/>
        <v>0</v>
      </c>
      <c r="E90" s="10">
        <f t="shared" si="22"/>
        <v>606580.28082926222</v>
      </c>
      <c r="F90" s="10">
        <f t="shared" si="18"/>
        <v>0</v>
      </c>
      <c r="G90" s="10">
        <f t="shared" si="27"/>
        <v>-38915829.95617158</v>
      </c>
      <c r="H90" s="10">
        <f t="shared" si="19"/>
        <v>-2334949.7973702946</v>
      </c>
      <c r="I90" s="10">
        <f t="shared" si="20"/>
        <v>606580.28082926222</v>
      </c>
      <c r="J90" s="10">
        <f t="shared" si="23"/>
        <v>-41857360.034371138</v>
      </c>
      <c r="K90" s="10">
        <f t="shared" si="24"/>
        <v>-2941530.078199558</v>
      </c>
    </row>
    <row r="91" spans="1:11" x14ac:dyDescent="0.3">
      <c r="A91">
        <f t="shared" si="26"/>
        <v>90</v>
      </c>
      <c r="B91">
        <f t="shared" si="25"/>
        <v>124</v>
      </c>
      <c r="C91" s="10">
        <f t="shared" si="21"/>
        <v>0</v>
      </c>
      <c r="D91" s="10">
        <f t="shared" si="17"/>
        <v>0</v>
      </c>
      <c r="E91" s="10">
        <f t="shared" si="22"/>
        <v>624777.68925414013</v>
      </c>
      <c r="F91" s="10">
        <f t="shared" si="18"/>
        <v>0</v>
      </c>
      <c r="G91" s="10">
        <f t="shared" si="27"/>
        <v>-41857360.034371138</v>
      </c>
      <c r="H91" s="10">
        <f t="shared" si="19"/>
        <v>-2511441.6020622682</v>
      </c>
      <c r="I91" s="10">
        <f t="shared" si="20"/>
        <v>624777.68925414013</v>
      </c>
      <c r="J91" s="10">
        <f t="shared" si="23"/>
        <v>-44993579.32568755</v>
      </c>
      <c r="K91" s="10">
        <f t="shared" si="24"/>
        <v>-3136219.2913164124</v>
      </c>
    </row>
    <row r="92" spans="1:11" x14ac:dyDescent="0.3">
      <c r="A92">
        <f t="shared" si="26"/>
        <v>91</v>
      </c>
      <c r="B92">
        <f t="shared" si="25"/>
        <v>125</v>
      </c>
      <c r="C92" s="10">
        <f t="shared" si="21"/>
        <v>0</v>
      </c>
      <c r="D92" s="10">
        <f t="shared" si="17"/>
        <v>0</v>
      </c>
      <c r="E92" s="10">
        <f t="shared" si="22"/>
        <v>643521.01993176434</v>
      </c>
      <c r="F92" s="10">
        <f t="shared" si="18"/>
        <v>0</v>
      </c>
      <c r="G92" s="10">
        <f t="shared" si="27"/>
        <v>-44993579.32568755</v>
      </c>
      <c r="H92" s="10">
        <f t="shared" si="19"/>
        <v>-2699614.7595412531</v>
      </c>
      <c r="I92" s="10">
        <f t="shared" si="20"/>
        <v>643521.01993176434</v>
      </c>
      <c r="J92" s="10">
        <f t="shared" si="23"/>
        <v>-48336715.105160564</v>
      </c>
      <c r="K92" s="10">
        <f t="shared" si="24"/>
        <v>-3343135.7794730142</v>
      </c>
    </row>
    <row r="93" spans="1:11" x14ac:dyDescent="0.3">
      <c r="A93">
        <f t="shared" si="26"/>
        <v>92</v>
      </c>
      <c r="B93">
        <f t="shared" si="25"/>
        <v>126</v>
      </c>
      <c r="C93" s="10">
        <f t="shared" si="21"/>
        <v>0</v>
      </c>
      <c r="D93" s="10">
        <f t="shared" si="17"/>
        <v>0</v>
      </c>
      <c r="E93" s="10">
        <f t="shared" si="22"/>
        <v>662826.65052971733</v>
      </c>
      <c r="F93" s="10">
        <f t="shared" si="18"/>
        <v>0</v>
      </c>
      <c r="G93" s="10">
        <f t="shared" si="27"/>
        <v>-48336715.105160564</v>
      </c>
      <c r="H93" s="10">
        <f t="shared" si="19"/>
        <v>-2900202.9063096335</v>
      </c>
      <c r="I93" s="10">
        <f t="shared" si="20"/>
        <v>662826.65052971733</v>
      </c>
      <c r="J93" s="10">
        <f t="shared" si="23"/>
        <v>-51899744.661999919</v>
      </c>
      <c r="K93" s="10">
        <f t="shared" si="24"/>
        <v>-3563029.5568393543</v>
      </c>
    </row>
    <row r="94" spans="1:11" x14ac:dyDescent="0.3">
      <c r="A94">
        <f t="shared" si="26"/>
        <v>93</v>
      </c>
      <c r="B94">
        <f t="shared" si="25"/>
        <v>127</v>
      </c>
      <c r="C94" s="10">
        <f t="shared" si="21"/>
        <v>0</v>
      </c>
      <c r="D94" s="10">
        <f t="shared" si="17"/>
        <v>0</v>
      </c>
      <c r="E94" s="10">
        <f t="shared" si="22"/>
        <v>682711.45004560892</v>
      </c>
      <c r="F94" s="10">
        <f t="shared" si="18"/>
        <v>0</v>
      </c>
      <c r="G94" s="10">
        <f t="shared" si="27"/>
        <v>-51899744.661999919</v>
      </c>
      <c r="H94" s="10">
        <f t="shared" si="19"/>
        <v>-3113984.6797199948</v>
      </c>
      <c r="I94" s="10">
        <f t="shared" si="20"/>
        <v>682711.45004560892</v>
      </c>
      <c r="J94" s="10">
        <f t="shared" si="23"/>
        <v>-55696440.791765518</v>
      </c>
      <c r="K94" s="10">
        <f t="shared" si="24"/>
        <v>-3796696.1297656</v>
      </c>
    </row>
    <row r="95" spans="1:11" x14ac:dyDescent="0.3">
      <c r="A95">
        <f t="shared" si="26"/>
        <v>94</v>
      </c>
      <c r="B95">
        <f t="shared" si="25"/>
        <v>128</v>
      </c>
      <c r="C95" s="10">
        <f t="shared" si="21"/>
        <v>0</v>
      </c>
      <c r="D95" s="10">
        <f t="shared" si="17"/>
        <v>0</v>
      </c>
      <c r="E95" s="10">
        <f t="shared" si="22"/>
        <v>703192.79354697722</v>
      </c>
      <c r="F95" s="10">
        <f t="shared" si="18"/>
        <v>0</v>
      </c>
      <c r="G95" s="10">
        <f t="shared" si="27"/>
        <v>-55696440.791765518</v>
      </c>
      <c r="H95" s="10">
        <f t="shared" si="19"/>
        <v>-3341786.4475059309</v>
      </c>
      <c r="I95" s="10">
        <f t="shared" si="20"/>
        <v>703192.79354697722</v>
      </c>
      <c r="J95" s="10">
        <f t="shared" si="23"/>
        <v>-59741420.032818422</v>
      </c>
      <c r="K95" s="10">
        <f t="shared" si="24"/>
        <v>-4044979.2410529032</v>
      </c>
    </row>
    <row r="96" spans="1:11" x14ac:dyDescent="0.3">
      <c r="A96">
        <f t="shared" si="26"/>
        <v>95</v>
      </c>
      <c r="B96">
        <f t="shared" si="25"/>
        <v>129</v>
      </c>
      <c r="C96" s="10">
        <f t="shared" si="21"/>
        <v>0</v>
      </c>
      <c r="D96" s="10">
        <f t="shared" si="17"/>
        <v>0</v>
      </c>
      <c r="E96" s="10">
        <f t="shared" si="22"/>
        <v>724288.57735338656</v>
      </c>
      <c r="F96" s="10">
        <f t="shared" si="18"/>
        <v>0</v>
      </c>
      <c r="G96" s="10">
        <f t="shared" si="27"/>
        <v>-59741420.032818422</v>
      </c>
      <c r="H96" s="10">
        <f t="shared" si="19"/>
        <v>-3584485.2019691053</v>
      </c>
      <c r="I96" s="10">
        <f t="shared" si="20"/>
        <v>724288.57735338656</v>
      </c>
      <c r="J96" s="10">
        <f t="shared" si="23"/>
        <v>-64050193.812140912</v>
      </c>
      <c r="K96" s="10">
        <f t="shared" si="24"/>
        <v>-4308773.7793224901</v>
      </c>
    </row>
    <row r="97" spans="1:11" x14ac:dyDescent="0.3">
      <c r="A97">
        <f t="shared" si="26"/>
        <v>96</v>
      </c>
      <c r="B97">
        <f t="shared" si="25"/>
        <v>130</v>
      </c>
      <c r="C97" s="10">
        <f t="shared" si="21"/>
        <v>0</v>
      </c>
      <c r="D97" s="10">
        <f t="shared" si="17"/>
        <v>0</v>
      </c>
      <c r="E97" s="10">
        <f t="shared" si="22"/>
        <v>746017.23467398819</v>
      </c>
      <c r="F97" s="10">
        <f t="shared" si="18"/>
        <v>0</v>
      </c>
      <c r="G97" s="10">
        <f t="shared" si="27"/>
        <v>-64050193.812140912</v>
      </c>
      <c r="H97" s="10">
        <f t="shared" si="19"/>
        <v>-3843011.6287284545</v>
      </c>
      <c r="I97" s="10">
        <f t="shared" si="20"/>
        <v>746017.23467398819</v>
      </c>
      <c r="J97" s="10">
        <f t="shared" si="23"/>
        <v>-68639222.675543353</v>
      </c>
      <c r="K97" s="10">
        <f t="shared" si="24"/>
        <v>-4589028.8634024411</v>
      </c>
    </row>
    <row r="98" spans="1:11" x14ac:dyDescent="0.3">
      <c r="A98">
        <f t="shared" si="26"/>
        <v>97</v>
      </c>
      <c r="B98">
        <f t="shared" si="25"/>
        <v>131</v>
      </c>
      <c r="C98" s="10">
        <f t="shared" si="21"/>
        <v>0</v>
      </c>
      <c r="D98" s="10">
        <f t="shared" ref="D98:D101" si="28">C98*tax_rate</f>
        <v>0</v>
      </c>
      <c r="E98" s="10">
        <f t="shared" si="22"/>
        <v>768397.75171420781</v>
      </c>
      <c r="F98" s="10">
        <f t="shared" ref="F98:F101" si="29">IF($B98&lt;retirement_age,C98-D98-E98,0)</f>
        <v>0</v>
      </c>
      <c r="G98" s="10">
        <f t="shared" si="27"/>
        <v>-68639222.675543353</v>
      </c>
      <c r="H98" s="10">
        <f t="shared" ref="H98:H101" si="30">IF(B98&lt;retirement_age,G98*investment_return_pre,G98*investment_return_post)</f>
        <v>-4118353.3605326009</v>
      </c>
      <c r="I98" s="10">
        <f t="shared" si="20"/>
        <v>768397.75171420781</v>
      </c>
      <c r="J98" s="10">
        <f t="shared" si="23"/>
        <v>-73525973.787790164</v>
      </c>
      <c r="K98" s="10">
        <f t="shared" si="24"/>
        <v>-4886751.1122468114</v>
      </c>
    </row>
    <row r="99" spans="1:11" x14ac:dyDescent="0.3">
      <c r="A99">
        <f t="shared" si="26"/>
        <v>98</v>
      </c>
      <c r="B99">
        <f t="shared" si="25"/>
        <v>132</v>
      </c>
      <c r="C99" s="10">
        <f t="shared" si="21"/>
        <v>0</v>
      </c>
      <c r="D99" s="10">
        <f t="shared" si="28"/>
        <v>0</v>
      </c>
      <c r="E99" s="10">
        <f t="shared" si="22"/>
        <v>791449.68426563405</v>
      </c>
      <c r="F99" s="10">
        <f t="shared" si="29"/>
        <v>0</v>
      </c>
      <c r="G99" s="10">
        <f t="shared" si="27"/>
        <v>-73525973.787790164</v>
      </c>
      <c r="H99" s="10">
        <f t="shared" si="30"/>
        <v>-4411558.4272674099</v>
      </c>
      <c r="I99" s="10">
        <f t="shared" si="20"/>
        <v>791449.68426563405</v>
      </c>
      <c r="J99" s="10">
        <f t="shared" si="23"/>
        <v>-78728981.89932321</v>
      </c>
      <c r="K99" s="10">
        <f t="shared" si="24"/>
        <v>-5203008.1115330458</v>
      </c>
    </row>
    <row r="100" spans="1:11" x14ac:dyDescent="0.3">
      <c r="A100">
        <f t="shared" si="26"/>
        <v>99</v>
      </c>
      <c r="B100">
        <f t="shared" si="25"/>
        <v>133</v>
      </c>
      <c r="C100" s="10">
        <f t="shared" si="21"/>
        <v>0</v>
      </c>
      <c r="D100" s="10">
        <f t="shared" si="28"/>
        <v>0</v>
      </c>
      <c r="E100" s="10">
        <f t="shared" si="22"/>
        <v>815193.17479360313</v>
      </c>
      <c r="F100" s="10">
        <f t="shared" si="29"/>
        <v>0</v>
      </c>
      <c r="G100" s="10">
        <f t="shared" si="27"/>
        <v>-78728981.89932321</v>
      </c>
      <c r="H100" s="10">
        <f t="shared" si="30"/>
        <v>-4723738.9139593923</v>
      </c>
      <c r="I100" s="10">
        <f t="shared" si="20"/>
        <v>815193.17479360313</v>
      </c>
      <c r="J100" s="10">
        <f t="shared" si="23"/>
        <v>-84267913.98807621</v>
      </c>
      <c r="K100" s="10">
        <f t="shared" si="24"/>
        <v>-5538932.0887529999</v>
      </c>
    </row>
    <row r="101" spans="1:11" x14ac:dyDescent="0.3">
      <c r="A101">
        <f t="shared" si="26"/>
        <v>100</v>
      </c>
      <c r="B101">
        <f t="shared" si="25"/>
        <v>134</v>
      </c>
      <c r="C101" s="10">
        <f t="shared" si="21"/>
        <v>0</v>
      </c>
      <c r="D101" s="10">
        <f t="shared" si="28"/>
        <v>0</v>
      </c>
      <c r="E101" s="10">
        <f t="shared" si="22"/>
        <v>839648.9700374112</v>
      </c>
      <c r="F101" s="10">
        <f t="shared" si="29"/>
        <v>0</v>
      </c>
      <c r="G101" s="10">
        <f t="shared" si="27"/>
        <v>-84267913.98807621</v>
      </c>
      <c r="H101" s="10">
        <f t="shared" si="30"/>
        <v>-5056074.8392845728</v>
      </c>
      <c r="I101" s="10">
        <f t="shared" si="20"/>
        <v>839648.9700374112</v>
      </c>
      <c r="J101" s="10">
        <f t="shared" si="23"/>
        <v>-90163637.797398195</v>
      </c>
      <c r="K101" s="10">
        <f t="shared" si="24"/>
        <v>-5895723.8093219846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3DD8E-49D7-4AC2-AB5A-881ACDD9F364}">
  <sheetPr codeName="Sheet3"/>
  <dimension ref="A1:B9"/>
  <sheetViews>
    <sheetView workbookViewId="0">
      <selection activeCell="B10" sqref="B10"/>
    </sheetView>
  </sheetViews>
  <sheetFormatPr defaultRowHeight="14.4" x14ac:dyDescent="0.3"/>
  <cols>
    <col min="1" max="1" width="34.33203125" customWidth="1"/>
    <col min="2" max="2" width="22.88671875" customWidth="1"/>
    <col min="3" max="3" width="25.5546875" customWidth="1"/>
  </cols>
  <sheetData>
    <row r="1" spans="1:2" x14ac:dyDescent="0.3">
      <c r="A1" s="1" t="s">
        <v>20</v>
      </c>
      <c r="B1" s="3">
        <v>0.04</v>
      </c>
    </row>
    <row r="2" spans="1:2" x14ac:dyDescent="0.3">
      <c r="A2" s="1" t="s">
        <v>28</v>
      </c>
      <c r="B2" s="3">
        <v>0.06</v>
      </c>
    </row>
    <row r="3" spans="1:2" x14ac:dyDescent="0.3">
      <c r="A3" s="1" t="s">
        <v>27</v>
      </c>
      <c r="B3" s="3">
        <v>0.08</v>
      </c>
    </row>
    <row r="5" spans="1:2" x14ac:dyDescent="0.3">
      <c r="A5" s="1" t="s">
        <v>23</v>
      </c>
      <c r="B5" s="2">
        <f>VLOOKUP(Planner!A16,A1:B3,2,FALSE)</f>
        <v>0.08</v>
      </c>
    </row>
    <row r="6" spans="1:2" x14ac:dyDescent="0.3">
      <c r="A6" s="1" t="s">
        <v>24</v>
      </c>
      <c r="B6" s="2">
        <f>VLOOKUP(Planner!A19,A1:B3,2,FALSE)</f>
        <v>0.06</v>
      </c>
    </row>
    <row r="8" spans="1:2" x14ac:dyDescent="0.3">
      <c r="A8" s="1" t="s">
        <v>25</v>
      </c>
      <c r="B8" s="11">
        <f>COUNTIF(Calculations!$J$1:$J$101,"&gt;0")</f>
        <v>50</v>
      </c>
    </row>
    <row r="9" spans="1:2" x14ac:dyDescent="0.3">
      <c r="A9" s="1" t="s">
        <v>26</v>
      </c>
      <c r="B9">
        <f>COUNTIF(Calculations!$J$1:$J$101,"&gt;0")+current_age</f>
        <v>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Planner</vt:lpstr>
      <vt:lpstr>Detail</vt:lpstr>
      <vt:lpstr>Calculations</vt:lpstr>
      <vt:lpstr>Support</vt:lpstr>
      <vt:lpstr>age_when_money_runs_out</vt:lpstr>
      <vt:lpstr>annual_income_increase</vt:lpstr>
      <vt:lpstr>annual_inflation</vt:lpstr>
      <vt:lpstr>current_age</vt:lpstr>
      <vt:lpstr>current_annual_expenses</vt:lpstr>
      <vt:lpstr>current_annual_income</vt:lpstr>
      <vt:lpstr>current_retirement_savings</vt:lpstr>
      <vt:lpstr>investment_return_post</vt:lpstr>
      <vt:lpstr>investment_return_pre</vt:lpstr>
      <vt:lpstr>retirement_age</vt:lpstr>
      <vt:lpstr>tax_rate</vt:lpstr>
      <vt:lpstr>years_before_money_runs_out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Travis Cuzick</dc:creator>
  <cp:lastModifiedBy>Ajay Reddy</cp:lastModifiedBy>
  <dcterms:created xsi:type="dcterms:W3CDTF">2015-06-05T18:17:20Z</dcterms:created>
  <dcterms:modified xsi:type="dcterms:W3CDTF">2024-11-15T21:09:22Z</dcterms:modified>
</cp:coreProperties>
</file>